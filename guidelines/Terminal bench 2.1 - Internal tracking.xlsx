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_tb2.1" sheetId="1" r:id="rId5"/>
    <sheet state="visible" name="candidate_repos" sheetId="2" r:id="rId6"/>
    <sheet state="hidden" name="taxonomy" sheetId="3" r:id="rId7"/>
  </sheets>
  <definedNames>
    <definedName hidden="1" localSheetId="1" name="_xlnm._FilterDatabase">candidate_repos!$A$1:$N$41</definedName>
  </definedNames>
  <calcPr/>
</workbook>
</file>

<file path=xl/sharedStrings.xml><?xml version="1.0" encoding="utf-8"?>
<sst xmlns="http://schemas.openxmlformats.org/spreadsheetml/2006/main" count="325" uniqueCount="194">
  <si>
    <t>repo name</t>
  </si>
  <si>
    <t>url</t>
  </si>
  <si>
    <t>team member</t>
  </si>
  <si>
    <t>PR BASE/ base commit (optional)</t>
  </si>
  <si>
    <t>Category</t>
  </si>
  <si>
    <t>Subcategory</t>
  </si>
  <si>
    <t>Status</t>
  </si>
  <si>
    <t>Model</t>
  </si>
  <si>
    <t>Pass @1</t>
  </si>
  <si>
    <t>Pass @3</t>
  </si>
  <si>
    <t>Pass @ 5</t>
  </si>
  <si>
    <t>Link .zip delivery</t>
  </si>
  <si>
    <t>Notes</t>
  </si>
  <si>
    <t>tier</t>
  </si>
  <si>
    <t>repo</t>
  </si>
  <si>
    <t>Software</t>
  </si>
  <si>
    <t>created</t>
  </si>
  <si>
    <t>stars</t>
  </si>
  <si>
    <t>lang</t>
  </si>
  <si>
    <t>minable</t>
  </si>
  <si>
    <t>mrg90</t>
  </si>
  <si>
    <t>iss90</t>
  </si>
  <si>
    <t>tests</t>
  </si>
  <si>
    <t>Science</t>
  </si>
  <si>
    <t>src</t>
  </si>
  <si>
    <t>Operations</t>
  </si>
  <si>
    <t>lic</t>
  </si>
  <si>
    <t>ML</t>
  </si>
  <si>
    <t>test run fw</t>
  </si>
  <si>
    <t>Security</t>
  </si>
  <si>
    <t>note</t>
  </si>
  <si>
    <t>Hardware</t>
  </si>
  <si>
    <t>Media</t>
  </si>
  <si>
    <t>helper: lista valida por fila de tasks (no editar)</t>
  </si>
  <si>
    <t>Systems</t>
  </si>
  <si>
    <t>Chemistry</t>
  </si>
  <si>
    <t>Claims</t>
  </si>
  <si>
    <t>Inference</t>
  </si>
  <si>
    <t>Cryptography</t>
  </si>
  <si>
    <t>CAD</t>
  </si>
  <si>
    <t>Design</t>
  </si>
  <si>
    <t>S</t>
  </si>
  <si>
    <t>github/gh-aw</t>
  </si>
  <si>
    <t>https://github.com/github/gh-aw</t>
  </si>
  <si>
    <t>Go</t>
  </si>
  <si>
    <t>MIT</t>
  </si>
  <si>
    <t>go test</t>
  </si>
  <si>
    <t>go test ./... -short; -json + gotestsum -&gt; junit</t>
  </si>
  <si>
    <t>NousResearch/hermes-agent</t>
  </si>
  <si>
    <t>https://github.com/NousResearch/hermes-agent</t>
  </si>
  <si>
    <t>Frontend</t>
  </si>
  <si>
    <t>Biology</t>
  </si>
  <si>
    <t>Logistics</t>
  </si>
  <si>
    <t>Evaluation</t>
  </si>
  <si>
    <t>Forensics</t>
  </si>
  <si>
    <t>Python</t>
  </si>
  <si>
    <t>RTL</t>
  </si>
  <si>
    <t>Music</t>
  </si>
  <si>
    <t>Algorithms</t>
  </si>
  <si>
    <t>Math</t>
  </si>
  <si>
    <t>Compliance</t>
  </si>
  <si>
    <t>Training</t>
  </si>
  <si>
    <t>pytest</t>
  </si>
  <si>
    <t>pyproject testpaths; also a JS side -- scope to python lane</t>
  </si>
  <si>
    <t>AppSec</t>
  </si>
  <si>
    <t>kirodotdev/KiroCrew</t>
  </si>
  <si>
    <t>https://github.com/kirodotdev/KiroCrew</t>
  </si>
  <si>
    <t>Data engineering</t>
  </si>
  <si>
    <t>Physics</t>
  </si>
  <si>
    <t>Finance</t>
  </si>
  <si>
    <t>Kernels</t>
  </si>
  <si>
    <t>Databases</t>
  </si>
  <si>
    <t>Earth</t>
  </si>
  <si>
    <t>Marketing</t>
  </si>
  <si>
    <t>Linguistics</t>
  </si>
  <si>
    <t>Supply chain</t>
  </si>
  <si>
    <t>Apache-2.0</t>
  </si>
  <si>
    <t>Makefile venv pytest + conftest.py at root; npm/vite side exists</t>
  </si>
  <si>
    <t>floci-io/floci</t>
  </si>
  <si>
    <t>https://github.com/floci-io/floci</t>
  </si>
  <si>
    <t>Robotics</t>
  </si>
  <si>
    <t>Java</t>
  </si>
  <si>
    <t>junit/surefire</t>
  </si>
  <si>
    <t>mvn -B test emits surefire XML natively -&gt; existing junit_xml parser</t>
  </si>
  <si>
    <t>can1357/oh-my-pi</t>
  </si>
  <si>
    <t>https://github.com/can1357/oh-my-pi</t>
  </si>
  <si>
    <t>TypeScript</t>
  </si>
  <si>
    <t>bun</t>
  </si>
  <si>
    <t>test = bun scripts/ci-test-ts.ts local -- custom runner, needs a parser</t>
  </si>
  <si>
    <t>omnigent-ai/omnigent</t>
  </si>
  <si>
    <t>https://github.com/omnigent-ai/omnigent</t>
  </si>
  <si>
    <t>asyncio auto mode; uv.lock present</t>
  </si>
  <si>
    <t>A</t>
  </si>
  <si>
    <t>esengine/DeepSeek-Reasonix</t>
  </si>
  <si>
    <t>https://github.com/esengine/DeepSeek-Reasonix</t>
  </si>
  <si>
    <t>make test = go test ./...; separate desktop/ module</t>
  </si>
  <si>
    <t>lerd-env/lerd</t>
  </si>
  <si>
    <t>https://github.com/lerd-env/lerd</t>
  </si>
  <si>
    <t>make test = go test ./... -- cleanest small Go lane</t>
  </si>
  <si>
    <t>docker/docker-agent</t>
  </si>
  <si>
    <t>https://github.com/docker/docker-agent</t>
  </si>
  <si>
    <t>Taskfile; some tests gated on live network env vars -- exclude</t>
  </si>
  <si>
    <t>stacklok/toolhive</t>
  </si>
  <si>
    <t>https://github.com/stacklok/toolhive</t>
  </si>
  <si>
    <t>go test -json already; excludes /test/e2e by design</t>
  </si>
  <si>
    <t>microsoft/apm</t>
  </si>
  <si>
    <t>https://github.com/microsoft/apm</t>
  </si>
  <si>
    <t>addopts -m 'not benchmark and not live' -- offline-clean out of the box</t>
  </si>
  <si>
    <t>Tracer-Cloud/opensre</t>
  </si>
  <si>
    <t>https://github.com/Tracer-Cloud/opensre</t>
  </si>
  <si>
    <t>pytest.ini testpaths=tests gateway/tests, norecursedirs tests/e2e</t>
  </si>
  <si>
    <t>maziyarpanahi/openmed</t>
  </si>
  <si>
    <t>https://github.com/maziyarpanahi/openmed</t>
  </si>
  <si>
    <t>uv run --frozen --extra dev pytest</t>
  </si>
  <si>
    <t>odysseus-dev/odysseus</t>
  </si>
  <si>
    <t>https://github.com/odysseus-dev/odysseus</t>
  </si>
  <si>
    <t>AGPL-3.0</t>
  </si>
  <si>
    <t>AGPL like worldmonitor; smaller src tree</t>
  </si>
  <si>
    <t>nearai/ironclaw</t>
  </si>
  <si>
    <t>https://github.com/nearai/ironclaw</t>
  </si>
  <si>
    <t>Rust</t>
  </si>
  <si>
    <t>cargo test</t>
  </si>
  <si>
    <t>cargo test --no-fail-fast; needs a libtest/nextest parser</t>
  </si>
  <si>
    <t>NVIDIA/NemoClaw</t>
  </si>
  <si>
    <t>https://github.com/NVIDIA/NemoClaw</t>
  </si>
  <si>
    <t>vitest</t>
  </si>
  <si>
    <t>vitest run --project ...; test cmd builds CLI first</t>
  </si>
  <si>
    <t>QwenLM/qwen-code</t>
  </si>
  <si>
    <t>https://github.com/QwenLM/qwen-code</t>
  </si>
  <si>
    <t>npm run test --workspaces; monorepo, needs run_scope</t>
  </si>
  <si>
    <t>apache/maka</t>
  </si>
  <si>
    <t>https://github.com/apache/maka</t>
  </si>
  <si>
    <t>node/workspace</t>
  </si>
  <si>
    <t>custom parallel workspace runner script</t>
  </si>
  <si>
    <t>callstack/agent-device</t>
  </si>
  <si>
    <t>https://github.com/callstack/agent-device</t>
  </si>
  <si>
    <t>also a swift snapshot lane -- scope to the vitest lane</t>
  </si>
  <si>
    <t>t8y2/dbx</t>
  </si>
  <si>
    <t>https://github.com/t8y2/dbx</t>
  </si>
  <si>
    <t>labelled Rust but the test lane is pnpm/vitest workspaces</t>
  </si>
  <si>
    <t>TableProApp/TablePro</t>
  </si>
  <si>
    <t>https://github.com/TableProApp/TablePro</t>
  </si>
  <si>
    <t>Swift</t>
  </si>
  <si>
    <t>swift test</t>
  </si>
  <si>
    <t>macOS toolchain in image; hardest environment on the list</t>
  </si>
  <si>
    <t>B</t>
  </si>
  <si>
    <t>vllm-project/semantic-router</t>
  </si>
  <si>
    <t>https://github.com/vllm-project/semantic-router</t>
  </si>
  <si>
    <t>unknown</t>
  </si>
  <si>
    <t>Wei-Shaw/sub2api</t>
  </si>
  <si>
    <t>https://github.com/Wei-Shaw/sub2api</t>
  </si>
  <si>
    <t>LGPL-3.0</t>
  </si>
  <si>
    <t>multica-ai/multica</t>
  </si>
  <si>
    <t>https://github.com/multica-ai/multica</t>
  </si>
  <si>
    <t>NOASSERTION</t>
  </si>
  <si>
    <t>agentscope-ai/agentscope-java</t>
  </si>
  <si>
    <t>https://github.com/agentscope-ai/agentscope-java</t>
  </si>
  <si>
    <t>?</t>
  </si>
  <si>
    <t>github/copilot-sdk</t>
  </si>
  <si>
    <t>https://github.com/github/copilot-sdk</t>
  </si>
  <si>
    <t>iflytek/skillhub</t>
  </si>
  <si>
    <t>https://github.com/iflytek/skillhub</t>
  </si>
  <si>
    <t>embabel/embabel-agent</t>
  </si>
  <si>
    <t>https://github.com/embabel/embabel-agent</t>
  </si>
  <si>
    <t>Kotlin</t>
  </si>
  <si>
    <t>NuvioMedia/NuvioTV</t>
  </si>
  <si>
    <t>https://github.com/NuvioMedia/NuvioTV</t>
  </si>
  <si>
    <t>GPL-3.0</t>
  </si>
  <si>
    <t>modelcontextprotocol/csharp-sdk</t>
  </si>
  <si>
    <t>https://github.com/modelcontextprotocol/csharp-sdk</t>
  </si>
  <si>
    <t>C#</t>
  </si>
  <si>
    <t>openclaw/openclaw-windows-node</t>
  </si>
  <si>
    <t>https://github.com/openclaw/openclaw-windows-node</t>
  </si>
  <si>
    <t>we-promise/sure</t>
  </si>
  <si>
    <t>https://github.com/we-promise/sure</t>
  </si>
  <si>
    <t>Ruby</t>
  </si>
  <si>
    <t>David-Crty/databasement</t>
  </si>
  <si>
    <t>https://github.com/David-Crty/databasement</t>
  </si>
  <si>
    <t>PHP</t>
  </si>
  <si>
    <t>lemonade-sdk/lemonade</t>
  </si>
  <si>
    <t>https://github.com/lemonade-sdk/lemonade</t>
  </si>
  <si>
    <t>C++</t>
  </si>
  <si>
    <t>IBM/mcp-context-forge</t>
  </si>
  <si>
    <t>https://github.com/IBM/mcp-context-forge</t>
  </si>
  <si>
    <t>microsoft/agent-framework</t>
  </si>
  <si>
    <t>https://github.com/microsoft/agent-framework</t>
  </si>
  <si>
    <t>bytedance/deer-flow</t>
  </si>
  <si>
    <t>https://github.com/bytedance/deer-flow</t>
  </si>
  <si>
    <t>tinyhumansai/openhuman</t>
  </si>
  <si>
    <t>https://github.com/tinyhumansai/openhuman</t>
  </si>
  <si>
    <t>ai-dynamo/dynamo</t>
  </si>
  <si>
    <t>https://github.com/ai-dynamo/dynamo</t>
  </si>
  <si>
    <t>agentgateway/agentgateway</t>
  </si>
  <si>
    <t>https://github.com/agentgateway/agentgateway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</si>
</sst>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readingOrder="0" vertical="bottom"/>
    </xf>
    <xf borderId="0" fillId="2" fontId="2" numFmtId="0" xfId="0" applyFill="1" applyFont="1"/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bottom"/>
    </xf>
    <xf borderId="0" fillId="3" fontId="1" numFmtId="0" xfId="0" applyAlignment="1" applyFill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agentgateway/agentgateway" TargetMode="External"/><Relationship Id="rId20" Type="http://schemas.openxmlformats.org/officeDocument/2006/relationships/hyperlink" Target="https://github.com/t8y2/dbx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github.com/vllm-project/semantic-router" TargetMode="External"/><Relationship Id="rId21" Type="http://schemas.openxmlformats.org/officeDocument/2006/relationships/hyperlink" Target="https://github.com/TableProApp/TablePro" TargetMode="External"/><Relationship Id="rId24" Type="http://schemas.openxmlformats.org/officeDocument/2006/relationships/hyperlink" Target="https://github.com/multica-ai/multica" TargetMode="External"/><Relationship Id="rId23" Type="http://schemas.openxmlformats.org/officeDocument/2006/relationships/hyperlink" Target="https://github.com/Wei-Shaw/sub2api" TargetMode="External"/><Relationship Id="rId1" Type="http://schemas.openxmlformats.org/officeDocument/2006/relationships/hyperlink" Target="https://github.com/github/gh-aw" TargetMode="External"/><Relationship Id="rId2" Type="http://schemas.openxmlformats.org/officeDocument/2006/relationships/hyperlink" Target="https://github.com/NousResearch/hermes-agent" TargetMode="External"/><Relationship Id="rId3" Type="http://schemas.openxmlformats.org/officeDocument/2006/relationships/hyperlink" Target="https://github.com/kirodotdev/KiroCrew" TargetMode="External"/><Relationship Id="rId4" Type="http://schemas.openxmlformats.org/officeDocument/2006/relationships/hyperlink" Target="https://github.com/floci-io/floci" TargetMode="External"/><Relationship Id="rId9" Type="http://schemas.openxmlformats.org/officeDocument/2006/relationships/hyperlink" Target="https://github.com/docker/docker-agent" TargetMode="External"/><Relationship Id="rId26" Type="http://schemas.openxmlformats.org/officeDocument/2006/relationships/hyperlink" Target="https://github.com/github/copilot-sdk" TargetMode="External"/><Relationship Id="rId25" Type="http://schemas.openxmlformats.org/officeDocument/2006/relationships/hyperlink" Target="https://github.com/agentscope-ai/agentscope-java" TargetMode="External"/><Relationship Id="rId28" Type="http://schemas.openxmlformats.org/officeDocument/2006/relationships/hyperlink" Target="https://github.com/embabel/embabel-agent" TargetMode="External"/><Relationship Id="rId27" Type="http://schemas.openxmlformats.org/officeDocument/2006/relationships/hyperlink" Target="https://github.com/iflytek/skillhub" TargetMode="External"/><Relationship Id="rId5" Type="http://schemas.openxmlformats.org/officeDocument/2006/relationships/hyperlink" Target="https://github.com/can1357/oh-my-pi" TargetMode="External"/><Relationship Id="rId6" Type="http://schemas.openxmlformats.org/officeDocument/2006/relationships/hyperlink" Target="https://github.com/omnigent-ai/omnigent" TargetMode="External"/><Relationship Id="rId29" Type="http://schemas.openxmlformats.org/officeDocument/2006/relationships/hyperlink" Target="https://github.com/NuvioMedia/NuvioTV" TargetMode="External"/><Relationship Id="rId7" Type="http://schemas.openxmlformats.org/officeDocument/2006/relationships/hyperlink" Target="https://github.com/esengine/DeepSeek-Reasonix" TargetMode="External"/><Relationship Id="rId8" Type="http://schemas.openxmlformats.org/officeDocument/2006/relationships/hyperlink" Target="https://github.com/lerd-env/lerd" TargetMode="External"/><Relationship Id="rId31" Type="http://schemas.openxmlformats.org/officeDocument/2006/relationships/hyperlink" Target="https://github.com/openclaw/openclaw-windows-node" TargetMode="External"/><Relationship Id="rId30" Type="http://schemas.openxmlformats.org/officeDocument/2006/relationships/hyperlink" Target="https://github.com/modelcontextprotocol/csharp-sdk" TargetMode="External"/><Relationship Id="rId11" Type="http://schemas.openxmlformats.org/officeDocument/2006/relationships/hyperlink" Target="https://github.com/microsoft/apm" TargetMode="External"/><Relationship Id="rId33" Type="http://schemas.openxmlformats.org/officeDocument/2006/relationships/hyperlink" Target="https://github.com/David-Crty/databasement" TargetMode="External"/><Relationship Id="rId10" Type="http://schemas.openxmlformats.org/officeDocument/2006/relationships/hyperlink" Target="https://github.com/stacklok/toolhive" TargetMode="External"/><Relationship Id="rId32" Type="http://schemas.openxmlformats.org/officeDocument/2006/relationships/hyperlink" Target="https://github.com/we-promise/sure" TargetMode="External"/><Relationship Id="rId13" Type="http://schemas.openxmlformats.org/officeDocument/2006/relationships/hyperlink" Target="https://github.com/maziyarpanahi/openmed" TargetMode="External"/><Relationship Id="rId35" Type="http://schemas.openxmlformats.org/officeDocument/2006/relationships/hyperlink" Target="https://github.com/IBM/mcp-context-forge" TargetMode="External"/><Relationship Id="rId12" Type="http://schemas.openxmlformats.org/officeDocument/2006/relationships/hyperlink" Target="https://github.com/Tracer-Cloud/opensre" TargetMode="External"/><Relationship Id="rId34" Type="http://schemas.openxmlformats.org/officeDocument/2006/relationships/hyperlink" Target="https://github.com/lemonade-sdk/lemonade" TargetMode="External"/><Relationship Id="rId15" Type="http://schemas.openxmlformats.org/officeDocument/2006/relationships/hyperlink" Target="https://github.com/nearai/ironclaw" TargetMode="External"/><Relationship Id="rId37" Type="http://schemas.openxmlformats.org/officeDocument/2006/relationships/hyperlink" Target="https://github.com/bytedance/deer-flow" TargetMode="External"/><Relationship Id="rId14" Type="http://schemas.openxmlformats.org/officeDocument/2006/relationships/hyperlink" Target="https://github.com/odysseus-dev/odysseus" TargetMode="External"/><Relationship Id="rId36" Type="http://schemas.openxmlformats.org/officeDocument/2006/relationships/hyperlink" Target="https://github.com/microsoft/agent-framework" TargetMode="External"/><Relationship Id="rId17" Type="http://schemas.openxmlformats.org/officeDocument/2006/relationships/hyperlink" Target="https://github.com/QwenLM/qwen-code" TargetMode="External"/><Relationship Id="rId39" Type="http://schemas.openxmlformats.org/officeDocument/2006/relationships/hyperlink" Target="https://github.com/ai-dynamo/dynamo" TargetMode="External"/><Relationship Id="rId16" Type="http://schemas.openxmlformats.org/officeDocument/2006/relationships/hyperlink" Target="https://github.com/NVIDIA/NemoClaw" TargetMode="External"/><Relationship Id="rId38" Type="http://schemas.openxmlformats.org/officeDocument/2006/relationships/hyperlink" Target="https://github.com/tinyhumansai/openhuman" TargetMode="External"/><Relationship Id="rId19" Type="http://schemas.openxmlformats.org/officeDocument/2006/relationships/hyperlink" Target="https://github.com/callstack/agent-device" TargetMode="External"/><Relationship Id="rId18" Type="http://schemas.openxmlformats.org/officeDocument/2006/relationships/hyperlink" Target="https://github.com/apache/mak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/>
      <c r="B2" s="7"/>
      <c r="C2" s="9"/>
      <c r="D2" s="10"/>
      <c r="E2" s="12"/>
      <c r="F2" s="14"/>
      <c r="G2" s="12"/>
      <c r="H2" s="12"/>
      <c r="I2" s="15"/>
      <c r="J2" s="15"/>
      <c r="K2" s="15"/>
      <c r="L2" s="6"/>
    </row>
    <row r="3">
      <c r="A3" s="6"/>
      <c r="B3" s="7"/>
      <c r="C3" s="9"/>
      <c r="D3" s="10"/>
      <c r="E3" s="12"/>
      <c r="F3" s="14"/>
      <c r="G3" s="12"/>
      <c r="H3" s="12"/>
      <c r="I3" s="15"/>
      <c r="J3" s="15"/>
      <c r="K3" s="15"/>
      <c r="L3" s="6"/>
    </row>
    <row r="4">
      <c r="A4" s="6"/>
      <c r="B4" s="7"/>
      <c r="C4" s="9"/>
      <c r="D4" s="10"/>
      <c r="E4" s="12"/>
      <c r="F4" s="14"/>
      <c r="G4" s="12"/>
      <c r="H4" s="12"/>
      <c r="I4" s="15"/>
      <c r="J4" s="15"/>
      <c r="K4" s="15"/>
      <c r="L4" s="6"/>
    </row>
    <row r="5">
      <c r="A5" s="6"/>
      <c r="B5" s="7"/>
      <c r="C5" s="9"/>
      <c r="D5" s="10"/>
      <c r="E5" s="12"/>
      <c r="F5" s="14"/>
      <c r="G5" s="12"/>
      <c r="H5" s="12"/>
      <c r="I5" s="15"/>
      <c r="J5" s="15"/>
      <c r="K5" s="15"/>
      <c r="L5" s="6"/>
    </row>
    <row r="6">
      <c r="A6" s="6"/>
      <c r="B6" s="7"/>
      <c r="C6" s="9"/>
      <c r="D6" s="10"/>
      <c r="E6" s="12"/>
      <c r="F6" s="14"/>
      <c r="G6" s="12"/>
      <c r="H6" s="12"/>
      <c r="I6" s="15"/>
      <c r="J6" s="15"/>
      <c r="K6" s="15"/>
      <c r="L6" s="6"/>
    </row>
    <row r="7">
      <c r="A7" s="6"/>
      <c r="B7" s="7"/>
      <c r="C7" s="9"/>
      <c r="D7" s="10"/>
      <c r="E7" s="12"/>
      <c r="F7" s="14"/>
      <c r="G7" s="12"/>
      <c r="H7" s="12"/>
      <c r="I7" s="15"/>
      <c r="J7" s="15"/>
      <c r="K7" s="15"/>
      <c r="L7" s="6"/>
    </row>
    <row r="8">
      <c r="A8" s="6"/>
      <c r="B8" s="7"/>
      <c r="C8" s="9"/>
      <c r="D8" s="10"/>
      <c r="E8" s="12"/>
      <c r="F8" s="14"/>
      <c r="G8" s="12"/>
      <c r="H8" s="12"/>
      <c r="I8" s="15"/>
      <c r="J8" s="15"/>
      <c r="K8" s="15"/>
      <c r="L8" s="6"/>
    </row>
    <row r="9">
      <c r="A9" s="6"/>
      <c r="B9" s="7"/>
      <c r="C9" s="9"/>
      <c r="D9" s="10"/>
      <c r="E9" s="12"/>
      <c r="F9" s="14"/>
      <c r="G9" s="12"/>
      <c r="H9" s="12"/>
      <c r="I9" s="15"/>
      <c r="J9" s="15"/>
      <c r="K9" s="15"/>
      <c r="L9" s="6"/>
    </row>
    <row r="10">
      <c r="A10" s="6"/>
      <c r="B10" s="7"/>
      <c r="C10" s="9"/>
      <c r="D10" s="10"/>
      <c r="E10" s="12"/>
      <c r="F10" s="14"/>
      <c r="G10" s="12"/>
      <c r="H10" s="12"/>
      <c r="I10" s="15"/>
      <c r="J10" s="15"/>
      <c r="K10" s="15"/>
      <c r="L10" s="6"/>
    </row>
    <row r="11">
      <c r="A11" s="6"/>
      <c r="B11" s="7"/>
      <c r="C11" s="9"/>
      <c r="D11" s="10"/>
      <c r="E11" s="12"/>
      <c r="F11" s="14"/>
      <c r="G11" s="12"/>
      <c r="H11" s="12"/>
      <c r="I11" s="15"/>
      <c r="J11" s="15"/>
      <c r="K11" s="15"/>
      <c r="L11" s="6"/>
    </row>
    <row r="12">
      <c r="A12" s="6"/>
      <c r="B12" s="7"/>
      <c r="C12" s="9"/>
      <c r="D12" s="10"/>
      <c r="E12" s="12"/>
      <c r="F12" s="14"/>
      <c r="G12" s="12"/>
      <c r="H12" s="12"/>
      <c r="I12" s="15"/>
      <c r="J12" s="15"/>
      <c r="K12" s="15"/>
      <c r="L12" s="6"/>
    </row>
    <row r="13">
      <c r="A13" s="6"/>
      <c r="B13" s="7"/>
      <c r="C13" s="9"/>
      <c r="D13" s="10"/>
      <c r="E13" s="12"/>
      <c r="F13" s="14"/>
      <c r="G13" s="12"/>
      <c r="H13" s="12"/>
      <c r="I13" s="15"/>
      <c r="J13" s="15"/>
      <c r="K13" s="15"/>
      <c r="L13" s="6"/>
    </row>
    <row r="14">
      <c r="A14" s="6"/>
      <c r="B14" s="7"/>
      <c r="C14" s="9"/>
      <c r="D14" s="10"/>
      <c r="E14" s="12"/>
      <c r="F14" s="14"/>
      <c r="G14" s="12"/>
      <c r="H14" s="12"/>
      <c r="I14" s="15"/>
      <c r="J14" s="15"/>
      <c r="K14" s="15"/>
      <c r="L14" s="6"/>
    </row>
    <row r="15">
      <c r="A15" s="6"/>
      <c r="B15" s="7"/>
      <c r="C15" s="9"/>
      <c r="D15" s="10"/>
      <c r="E15" s="12"/>
      <c r="F15" s="14"/>
      <c r="G15" s="12"/>
      <c r="H15" s="12"/>
      <c r="I15" s="15"/>
      <c r="J15" s="15"/>
      <c r="K15" s="15"/>
      <c r="L15" s="6"/>
    </row>
    <row r="16">
      <c r="A16" s="6"/>
      <c r="B16" s="7"/>
      <c r="C16" s="9"/>
      <c r="D16" s="10"/>
      <c r="E16" s="12"/>
      <c r="F16" s="14"/>
      <c r="G16" s="12"/>
      <c r="H16" s="12"/>
      <c r="I16" s="15"/>
      <c r="J16" s="15"/>
      <c r="K16" s="15"/>
      <c r="L16" s="6"/>
    </row>
    <row r="17">
      <c r="A17" s="6"/>
      <c r="B17" s="7"/>
      <c r="C17" s="9"/>
      <c r="D17" s="10"/>
      <c r="E17" s="12"/>
      <c r="F17" s="14"/>
      <c r="G17" s="12"/>
      <c r="H17" s="12"/>
      <c r="I17" s="15"/>
      <c r="J17" s="15"/>
      <c r="K17" s="15"/>
      <c r="L17" s="6"/>
    </row>
    <row r="18">
      <c r="A18" s="6"/>
      <c r="B18" s="7"/>
      <c r="C18" s="9"/>
      <c r="D18" s="10"/>
      <c r="E18" s="12"/>
      <c r="F18" s="14"/>
      <c r="G18" s="12"/>
      <c r="H18" s="12"/>
      <c r="I18" s="15"/>
      <c r="J18" s="15"/>
      <c r="K18" s="15"/>
      <c r="L18" s="6"/>
    </row>
    <row r="19">
      <c r="A19" s="6"/>
      <c r="B19" s="7"/>
      <c r="C19" s="9"/>
      <c r="D19" s="10"/>
      <c r="E19" s="12"/>
      <c r="F19" s="14"/>
      <c r="G19" s="12"/>
      <c r="H19" s="12"/>
      <c r="I19" s="15"/>
      <c r="J19" s="15"/>
      <c r="K19" s="15"/>
      <c r="L19" s="6"/>
    </row>
    <row r="20">
      <c r="A20" s="6"/>
      <c r="B20" s="7"/>
      <c r="C20" s="9"/>
      <c r="D20" s="10"/>
      <c r="E20" s="12"/>
      <c r="F20" s="14"/>
      <c r="G20" s="12"/>
      <c r="H20" s="12"/>
      <c r="I20" s="15"/>
      <c r="J20" s="15"/>
      <c r="K20" s="15"/>
      <c r="L20" s="6"/>
    </row>
    <row r="21">
      <c r="A21" s="6"/>
      <c r="B21" s="7"/>
      <c r="C21" s="9"/>
      <c r="D21" s="10"/>
      <c r="E21" s="12"/>
      <c r="F21" s="14"/>
      <c r="G21" s="12"/>
      <c r="H21" s="12"/>
      <c r="I21" s="15"/>
      <c r="J21" s="15"/>
      <c r="K21" s="15"/>
      <c r="L21" s="6"/>
    </row>
    <row r="22">
      <c r="A22" s="6"/>
      <c r="B22" s="7"/>
      <c r="C22" s="9"/>
      <c r="D22" s="10"/>
      <c r="E22" s="12"/>
      <c r="F22" s="14"/>
      <c r="G22" s="12"/>
      <c r="H22" s="12"/>
      <c r="I22" s="15"/>
      <c r="J22" s="15"/>
      <c r="K22" s="15"/>
      <c r="L22" s="6"/>
    </row>
  </sheetData>
  <dataValidations>
    <dataValidation type="list" allowBlank="1" showErrorMessage="1" sqref="C2:C22">
      <formula1>"pipe,elias,Edwar,Santi M,Valentin,Matias,JC"</formula1>
    </dataValidation>
    <dataValidation type="list" allowBlank="1" showErrorMessage="1" sqref="H2:H22">
      <formula1>"gpt-5.6,opus-5"</formula1>
    </dataValidation>
    <dataValidation type="list" allowBlank="1" showErrorMessage="1" sqref="F4:F22">
      <formula1>taxonomy!$J3:$P3</formula1>
    </dataValidation>
    <dataValidation type="list" allowBlank="1" showErrorMessage="1" sqref="G2:G22">
      <formula1>"WIP,Done,Skipped,HOLD,HOLD"</formula1>
    </dataValidation>
    <dataValidation type="list" allowBlank="1" showErrorMessage="1" sqref="J2:J22">
      <formula1>"0/3,1/3,2/3,3/3"</formula1>
    </dataValidation>
    <dataValidation type="list" allowBlank="1" showErrorMessage="1" sqref="K2:K22">
      <formula1>"0/5,1/5,2/5,3/5,4/5,5/5"</formula1>
    </dataValidation>
    <dataValidation type="list" allowBlank="1" showErrorMessage="1" sqref="E2:E22">
      <formula1>"Software,Science,Operations,ML,Security,Hardware,Media"</formula1>
    </dataValidation>
    <dataValidation type="list" allowBlank="1" showErrorMessage="1" sqref="I2:I22">
      <formula1>"0/1,1/1"</formula1>
    </dataValidation>
    <dataValidation type="list" allowBlank="1" showErrorMessage="1" sqref="F2:F3">
      <formula1>taxonomy!$J2:$P2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19.38"/>
  </cols>
  <sheetData>
    <row r="1">
      <c r="A1" s="8" t="s">
        <v>13</v>
      </c>
      <c r="B1" s="8" t="s">
        <v>14</v>
      </c>
      <c r="C1" s="8" t="s">
        <v>1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22</v>
      </c>
      <c r="K1" s="8" t="s">
        <v>24</v>
      </c>
      <c r="L1" s="8" t="s">
        <v>26</v>
      </c>
      <c r="M1" s="8" t="s">
        <v>28</v>
      </c>
      <c r="N1" s="8" t="s">
        <v>30</v>
      </c>
      <c r="O1" s="13"/>
      <c r="P1" s="13"/>
      <c r="Q1" s="13"/>
      <c r="R1" s="13"/>
      <c r="S1" s="13"/>
      <c r="T1" s="13"/>
      <c r="U1" s="13"/>
      <c r="V1" s="13"/>
      <c r="W1" s="13"/>
    </row>
    <row r="2">
      <c r="A2" s="11" t="s">
        <v>41</v>
      </c>
      <c r="B2" s="11" t="s">
        <v>42</v>
      </c>
      <c r="C2" s="16" t="s">
        <v>43</v>
      </c>
      <c r="D2" s="17">
        <v>45881.0</v>
      </c>
      <c r="E2" s="11">
        <v>5103.0</v>
      </c>
      <c r="F2" s="11" t="s">
        <v>44</v>
      </c>
      <c r="G2" s="11">
        <v>1071.0</v>
      </c>
      <c r="H2" s="11">
        <v>4645.0</v>
      </c>
      <c r="I2" s="11">
        <v>11622.0</v>
      </c>
      <c r="J2" s="11">
        <v>1769.0</v>
      </c>
      <c r="K2" s="11">
        <v>1242.0</v>
      </c>
      <c r="L2" s="11" t="s">
        <v>45</v>
      </c>
      <c r="M2" s="11" t="s">
        <v>46</v>
      </c>
      <c r="N2" s="11" t="s">
        <v>47</v>
      </c>
    </row>
    <row r="3">
      <c r="A3" s="11" t="s">
        <v>41</v>
      </c>
      <c r="B3" s="11" t="s">
        <v>48</v>
      </c>
      <c r="C3" s="16" t="s">
        <v>49</v>
      </c>
      <c r="D3" s="17">
        <v>45860.0</v>
      </c>
      <c r="E3" s="11">
        <v>241251.0</v>
      </c>
      <c r="F3" s="11" t="s">
        <v>55</v>
      </c>
      <c r="G3" s="11">
        <v>2198.0</v>
      </c>
      <c r="H3" s="11">
        <v>7150.0</v>
      </c>
      <c r="I3" s="11">
        <v>9265.0</v>
      </c>
      <c r="J3" s="11">
        <v>3823.0</v>
      </c>
      <c r="K3" s="11">
        <v>1725.0</v>
      </c>
      <c r="L3" s="11" t="s">
        <v>45</v>
      </c>
      <c r="M3" s="11" t="s">
        <v>62</v>
      </c>
      <c r="N3" s="11" t="s">
        <v>63</v>
      </c>
    </row>
    <row r="4">
      <c r="A4" s="11" t="s">
        <v>41</v>
      </c>
      <c r="B4" s="11" t="s">
        <v>65</v>
      </c>
      <c r="C4" s="16" t="s">
        <v>66</v>
      </c>
      <c r="D4" s="17">
        <v>46219.0</v>
      </c>
      <c r="E4" s="11">
        <v>3632.0</v>
      </c>
      <c r="F4" s="11" t="s">
        <v>55</v>
      </c>
      <c r="G4" s="11">
        <v>1383.0</v>
      </c>
      <c r="H4" s="11">
        <v>4611.0</v>
      </c>
      <c r="I4" s="11">
        <v>2014.0</v>
      </c>
      <c r="J4" s="11">
        <v>2138.0</v>
      </c>
      <c r="K4" s="11">
        <v>1207.0</v>
      </c>
      <c r="L4" s="11" t="s">
        <v>76</v>
      </c>
      <c r="M4" s="11" t="s">
        <v>62</v>
      </c>
      <c r="N4" s="11" t="s">
        <v>77</v>
      </c>
    </row>
    <row r="5">
      <c r="A5" s="11" t="s">
        <v>41</v>
      </c>
      <c r="B5" s="11" t="s">
        <v>78</v>
      </c>
      <c r="C5" s="16" t="s">
        <v>79</v>
      </c>
      <c r="D5" s="17">
        <v>46071.0</v>
      </c>
      <c r="E5" s="11">
        <v>23145.0</v>
      </c>
      <c r="F5" s="11" t="s">
        <v>81</v>
      </c>
      <c r="G5" s="11">
        <v>492.0</v>
      </c>
      <c r="H5" s="11">
        <v>1000.0</v>
      </c>
      <c r="I5" s="11">
        <v>564.0</v>
      </c>
      <c r="J5" s="11">
        <v>1362.0</v>
      </c>
      <c r="K5" s="11">
        <v>1714.0</v>
      </c>
      <c r="L5" s="11" t="s">
        <v>45</v>
      </c>
      <c r="M5" s="11" t="s">
        <v>82</v>
      </c>
      <c r="N5" s="11" t="s">
        <v>83</v>
      </c>
    </row>
    <row r="6">
      <c r="A6" s="11" t="s">
        <v>41</v>
      </c>
      <c r="B6" s="11" t="s">
        <v>84</v>
      </c>
      <c r="C6" s="16" t="s">
        <v>85</v>
      </c>
      <c r="D6" s="17">
        <v>46022.0</v>
      </c>
      <c r="E6" s="11">
        <v>29428.0</v>
      </c>
      <c r="F6" s="11" t="s">
        <v>86</v>
      </c>
      <c r="G6" s="11">
        <v>1638.0</v>
      </c>
      <c r="H6" s="11">
        <v>2619.0</v>
      </c>
      <c r="I6" s="11">
        <v>2777.0</v>
      </c>
      <c r="J6" s="11">
        <v>2481.0</v>
      </c>
      <c r="K6" s="11">
        <v>2220.0</v>
      </c>
      <c r="L6" s="11" t="s">
        <v>45</v>
      </c>
      <c r="M6" s="11" t="s">
        <v>87</v>
      </c>
      <c r="N6" s="11" t="s">
        <v>88</v>
      </c>
    </row>
    <row r="7">
      <c r="A7" s="11" t="s">
        <v>41</v>
      </c>
      <c r="B7" s="11" t="s">
        <v>89</v>
      </c>
      <c r="C7" s="16" t="s">
        <v>90</v>
      </c>
      <c r="D7" s="17">
        <v>46184.0</v>
      </c>
      <c r="E7" s="11">
        <v>9683.0</v>
      </c>
      <c r="F7" s="11" t="s">
        <v>55</v>
      </c>
      <c r="G7" s="11">
        <v>1057.0</v>
      </c>
      <c r="H7" s="11">
        <v>3306.0</v>
      </c>
      <c r="I7" s="11">
        <v>896.0</v>
      </c>
      <c r="J7" s="11">
        <v>1708.0</v>
      </c>
      <c r="K7" s="11">
        <v>883.0</v>
      </c>
      <c r="L7" s="11" t="s">
        <v>76</v>
      </c>
      <c r="M7" s="11" t="s">
        <v>62</v>
      </c>
      <c r="N7" s="11" t="s">
        <v>91</v>
      </c>
    </row>
    <row r="8">
      <c r="A8" s="11" t="s">
        <v>92</v>
      </c>
      <c r="B8" s="11" t="s">
        <v>93</v>
      </c>
      <c r="C8" s="16" t="s">
        <v>94</v>
      </c>
      <c r="D8" s="17">
        <v>46133.0</v>
      </c>
      <c r="E8" s="17">
        <v>46133.0</v>
      </c>
      <c r="F8" s="11" t="s">
        <v>44</v>
      </c>
      <c r="G8" s="11">
        <v>736.0</v>
      </c>
      <c r="H8" s="11">
        <v>1971.0</v>
      </c>
      <c r="I8" s="11">
        <v>2066.0</v>
      </c>
      <c r="J8" s="11">
        <v>1610.0</v>
      </c>
      <c r="K8" s="11">
        <v>1633.0</v>
      </c>
      <c r="L8" s="11" t="s">
        <v>45</v>
      </c>
      <c r="M8" s="11" t="s">
        <v>46</v>
      </c>
      <c r="N8" s="11" t="s">
        <v>95</v>
      </c>
    </row>
    <row r="9">
      <c r="A9" s="11" t="s">
        <v>92</v>
      </c>
      <c r="B9" s="11" t="s">
        <v>96</v>
      </c>
      <c r="C9" s="16" t="s">
        <v>97</v>
      </c>
      <c r="D9" s="17">
        <v>46098.0</v>
      </c>
      <c r="E9" s="11">
        <v>1253.0</v>
      </c>
      <c r="F9" s="11" t="s">
        <v>44</v>
      </c>
      <c r="G9" s="11">
        <v>537.0</v>
      </c>
      <c r="H9" s="11">
        <v>613.0</v>
      </c>
      <c r="I9" s="11">
        <v>560.0</v>
      </c>
      <c r="J9" s="11">
        <v>870.0</v>
      </c>
      <c r="K9" s="11">
        <v>655.0</v>
      </c>
      <c r="L9" s="11" t="s">
        <v>45</v>
      </c>
      <c r="M9" s="11" t="s">
        <v>46</v>
      </c>
      <c r="N9" s="11" t="s">
        <v>98</v>
      </c>
    </row>
    <row r="10">
      <c r="A10" s="11" t="s">
        <v>92</v>
      </c>
      <c r="B10" s="11" t="s">
        <v>99</v>
      </c>
      <c r="C10" s="16" t="s">
        <v>100</v>
      </c>
      <c r="D10" s="17">
        <v>45901.0</v>
      </c>
      <c r="E10" s="11">
        <v>3306.0</v>
      </c>
      <c r="F10" s="11" t="s">
        <v>44</v>
      </c>
      <c r="G10" s="11">
        <v>296.0</v>
      </c>
      <c r="H10" s="11">
        <v>839.0</v>
      </c>
      <c r="I10" s="11">
        <v>246.0</v>
      </c>
      <c r="J10" s="11">
        <v>932.0</v>
      </c>
      <c r="K10" s="11">
        <v>989.0</v>
      </c>
      <c r="L10" s="11" t="s">
        <v>76</v>
      </c>
      <c r="M10" s="11" t="s">
        <v>46</v>
      </c>
      <c r="N10" s="11" t="s">
        <v>101</v>
      </c>
    </row>
    <row r="11">
      <c r="A11" s="11" t="s">
        <v>92</v>
      </c>
      <c r="B11" s="11" t="s">
        <v>102</v>
      </c>
      <c r="C11" s="16" t="s">
        <v>103</v>
      </c>
      <c r="D11" s="17">
        <v>45728.0</v>
      </c>
      <c r="E11" s="11">
        <v>2070.0</v>
      </c>
      <c r="F11" s="11" t="s">
        <v>44</v>
      </c>
      <c r="G11" s="11">
        <v>230.0</v>
      </c>
      <c r="H11" s="11">
        <v>561.0</v>
      </c>
      <c r="I11" s="11">
        <v>293.0</v>
      </c>
      <c r="J11" s="11">
        <v>1093.0</v>
      </c>
      <c r="K11" s="11">
        <v>1016.0</v>
      </c>
      <c r="L11" s="11" t="s">
        <v>76</v>
      </c>
      <c r="M11" s="11" t="s">
        <v>46</v>
      </c>
      <c r="N11" s="11" t="s">
        <v>104</v>
      </c>
    </row>
    <row r="12">
      <c r="A12" s="11" t="s">
        <v>92</v>
      </c>
      <c r="B12" s="11" t="s">
        <v>105</v>
      </c>
      <c r="C12" s="16" t="s">
        <v>106</v>
      </c>
      <c r="D12" s="17">
        <v>45918.0</v>
      </c>
      <c r="E12" s="11">
        <v>3724.0</v>
      </c>
      <c r="F12" s="11" t="s">
        <v>55</v>
      </c>
      <c r="G12" s="11">
        <v>515.0</v>
      </c>
      <c r="H12" s="11">
        <v>440.0</v>
      </c>
      <c r="I12" s="11">
        <v>463.0</v>
      </c>
      <c r="J12" s="11">
        <v>1268.0</v>
      </c>
      <c r="K12" s="11">
        <v>566.0</v>
      </c>
      <c r="L12" s="11" t="s">
        <v>45</v>
      </c>
      <c r="M12" s="11" t="s">
        <v>62</v>
      </c>
      <c r="N12" s="11" t="s">
        <v>107</v>
      </c>
    </row>
    <row r="13">
      <c r="A13" s="11" t="s">
        <v>92</v>
      </c>
      <c r="B13" s="11" t="s">
        <v>108</v>
      </c>
      <c r="C13" s="16" t="s">
        <v>109</v>
      </c>
      <c r="D13" s="17">
        <v>46035.0</v>
      </c>
      <c r="E13" s="11">
        <v>11000.0</v>
      </c>
      <c r="F13" s="11" t="s">
        <v>55</v>
      </c>
      <c r="G13" s="11">
        <v>402.0</v>
      </c>
      <c r="H13" s="11">
        <v>1373.0</v>
      </c>
      <c r="I13" s="11">
        <v>1239.0</v>
      </c>
      <c r="J13" s="11">
        <v>1264.0</v>
      </c>
      <c r="K13" s="11">
        <v>1780.0</v>
      </c>
      <c r="L13" s="11" t="s">
        <v>76</v>
      </c>
      <c r="M13" s="11" t="s">
        <v>62</v>
      </c>
      <c r="N13" s="11" t="s">
        <v>110</v>
      </c>
    </row>
    <row r="14">
      <c r="A14" s="11" t="s">
        <v>92</v>
      </c>
      <c r="B14" s="11" t="s">
        <v>111</v>
      </c>
      <c r="C14" s="16" t="s">
        <v>112</v>
      </c>
      <c r="D14" s="17">
        <v>45934.0</v>
      </c>
      <c r="E14" s="11">
        <v>5201.0</v>
      </c>
      <c r="F14" s="11" t="s">
        <v>55</v>
      </c>
      <c r="G14" s="11">
        <v>702.0</v>
      </c>
      <c r="H14" s="11">
        <v>1127.0</v>
      </c>
      <c r="I14" s="11">
        <v>1107.0</v>
      </c>
      <c r="J14" s="11">
        <v>925.0</v>
      </c>
      <c r="K14" s="11">
        <v>847.0</v>
      </c>
      <c r="L14" s="11" t="s">
        <v>76</v>
      </c>
      <c r="M14" s="11" t="s">
        <v>62</v>
      </c>
      <c r="N14" s="11" t="s">
        <v>113</v>
      </c>
    </row>
    <row r="15" hidden="1">
      <c r="A15" s="11" t="s">
        <v>92</v>
      </c>
      <c r="B15" s="11" t="s">
        <v>114</v>
      </c>
      <c r="C15" s="16" t="s">
        <v>115</v>
      </c>
      <c r="D15" s="17">
        <v>46173.0</v>
      </c>
      <c r="E15" s="11">
        <v>86828.0</v>
      </c>
      <c r="F15" s="11" t="s">
        <v>55</v>
      </c>
      <c r="G15" s="11">
        <v>909.0</v>
      </c>
      <c r="H15" s="11">
        <v>664.0</v>
      </c>
      <c r="I15" s="11">
        <v>589.0</v>
      </c>
      <c r="J15" s="11">
        <v>836.0</v>
      </c>
      <c r="K15" s="11">
        <v>315.0</v>
      </c>
      <c r="L15" s="11" t="s">
        <v>116</v>
      </c>
      <c r="M15" s="11" t="s">
        <v>62</v>
      </c>
      <c r="N15" s="11" t="s">
        <v>117</v>
      </c>
    </row>
    <row r="16">
      <c r="A16" s="11" t="s">
        <v>92</v>
      </c>
      <c r="B16" s="11" t="s">
        <v>118</v>
      </c>
      <c r="C16" s="16" t="s">
        <v>119</v>
      </c>
      <c r="D16" s="17">
        <v>46056.0</v>
      </c>
      <c r="E16" s="11">
        <v>12602.0</v>
      </c>
      <c r="F16" s="11" t="s">
        <v>120</v>
      </c>
      <c r="G16" s="11">
        <v>729.0</v>
      </c>
      <c r="H16" s="11">
        <v>1507.0</v>
      </c>
      <c r="I16" s="11">
        <v>794.0</v>
      </c>
      <c r="J16" s="11">
        <v>703.0</v>
      </c>
      <c r="K16" s="11">
        <v>1626.0</v>
      </c>
      <c r="L16" s="11" t="s">
        <v>76</v>
      </c>
      <c r="M16" s="11" t="s">
        <v>121</v>
      </c>
      <c r="N16" s="11" t="s">
        <v>122</v>
      </c>
    </row>
    <row r="17">
      <c r="A17" s="11" t="s">
        <v>92</v>
      </c>
      <c r="B17" s="11" t="s">
        <v>123</v>
      </c>
      <c r="C17" s="16" t="s">
        <v>124</v>
      </c>
      <c r="D17" s="17">
        <v>46096.0</v>
      </c>
      <c r="E17" s="11">
        <v>22367.0</v>
      </c>
      <c r="F17" s="11" t="s">
        <v>86</v>
      </c>
      <c r="G17" s="11">
        <v>909.0</v>
      </c>
      <c r="H17" s="11">
        <v>3322.0</v>
      </c>
      <c r="I17" s="11">
        <v>1798.0</v>
      </c>
      <c r="J17" s="11">
        <v>2972.0</v>
      </c>
      <c r="K17" s="11">
        <v>1940.0</v>
      </c>
      <c r="L17" s="11" t="s">
        <v>76</v>
      </c>
      <c r="M17" s="11" t="s">
        <v>125</v>
      </c>
      <c r="N17" s="11" t="s">
        <v>126</v>
      </c>
    </row>
    <row r="18">
      <c r="A18" s="11" t="s">
        <v>92</v>
      </c>
      <c r="B18" s="11" t="s">
        <v>127</v>
      </c>
      <c r="C18" s="16" t="s">
        <v>128</v>
      </c>
      <c r="D18" s="17">
        <v>45834.0</v>
      </c>
      <c r="E18" s="11">
        <v>27646.0</v>
      </c>
      <c r="F18" s="11" t="s">
        <v>86</v>
      </c>
      <c r="G18" s="11">
        <v>910.0</v>
      </c>
      <c r="H18" s="11">
        <v>3308.0</v>
      </c>
      <c r="I18" s="11">
        <v>1768.0</v>
      </c>
      <c r="J18" s="11">
        <v>2298.0</v>
      </c>
      <c r="K18" s="11">
        <v>2911.0</v>
      </c>
      <c r="L18" s="11" t="s">
        <v>76</v>
      </c>
      <c r="M18" s="11" t="s">
        <v>125</v>
      </c>
      <c r="N18" s="11" t="s">
        <v>129</v>
      </c>
    </row>
    <row r="19">
      <c r="A19" s="11" t="s">
        <v>92</v>
      </c>
      <c r="B19" s="11" t="s">
        <v>130</v>
      </c>
      <c r="C19" s="16" t="s">
        <v>131</v>
      </c>
      <c r="D19" s="17">
        <v>46169.0</v>
      </c>
      <c r="E19" s="11">
        <v>4686.0</v>
      </c>
      <c r="F19" s="11" t="s">
        <v>86</v>
      </c>
      <c r="G19" s="11">
        <v>813.0</v>
      </c>
      <c r="H19" s="11">
        <v>3129.0</v>
      </c>
      <c r="I19" s="11">
        <v>902.0</v>
      </c>
      <c r="J19" s="11">
        <v>1155.0</v>
      </c>
      <c r="K19" s="11">
        <v>1774.0</v>
      </c>
      <c r="L19" s="11" t="s">
        <v>76</v>
      </c>
      <c r="M19" s="11" t="s">
        <v>132</v>
      </c>
      <c r="N19" s="11" t="s">
        <v>133</v>
      </c>
    </row>
    <row r="20">
      <c r="A20" s="11" t="s">
        <v>92</v>
      </c>
      <c r="B20" s="11" t="s">
        <v>134</v>
      </c>
      <c r="C20" s="16" t="s">
        <v>135</v>
      </c>
      <c r="D20" s="17">
        <v>46052.0</v>
      </c>
      <c r="E20" s="11">
        <v>4345.0</v>
      </c>
      <c r="F20" s="11" t="s">
        <v>86</v>
      </c>
      <c r="G20" s="11">
        <v>473.0</v>
      </c>
      <c r="H20" s="11">
        <v>1068.0</v>
      </c>
      <c r="I20" s="11">
        <v>429.0</v>
      </c>
      <c r="J20" s="11">
        <v>1627.0</v>
      </c>
      <c r="K20" s="11">
        <v>1789.0</v>
      </c>
      <c r="L20" s="11" t="s">
        <v>45</v>
      </c>
      <c r="M20" s="11" t="s">
        <v>125</v>
      </c>
      <c r="N20" s="11" t="s">
        <v>136</v>
      </c>
    </row>
    <row r="21">
      <c r="A21" s="11" t="s">
        <v>92</v>
      </c>
      <c r="B21" s="11" t="s">
        <v>137</v>
      </c>
      <c r="C21" s="16" t="s">
        <v>138</v>
      </c>
      <c r="D21" s="17">
        <v>46141.0</v>
      </c>
      <c r="E21" s="11">
        <v>18031.0</v>
      </c>
      <c r="F21" s="11" t="s">
        <v>120</v>
      </c>
      <c r="G21" s="11">
        <v>1334.0</v>
      </c>
      <c r="H21" s="11">
        <v>2284.0</v>
      </c>
      <c r="I21" s="11">
        <v>3865.0</v>
      </c>
      <c r="J21" s="11">
        <v>66.0</v>
      </c>
      <c r="K21" s="11">
        <v>432.0</v>
      </c>
      <c r="L21" s="11" t="s">
        <v>76</v>
      </c>
      <c r="M21" s="11" t="s">
        <v>125</v>
      </c>
      <c r="N21" s="11" t="s">
        <v>139</v>
      </c>
    </row>
    <row r="22" hidden="1">
      <c r="A22" s="11" t="s">
        <v>92</v>
      </c>
      <c r="B22" s="11" t="s">
        <v>140</v>
      </c>
      <c r="C22" s="16" t="s">
        <v>141</v>
      </c>
      <c r="D22" s="17">
        <v>46008.0</v>
      </c>
      <c r="E22" s="11">
        <v>5780.0</v>
      </c>
      <c r="F22" s="11" t="s">
        <v>142</v>
      </c>
      <c r="G22" s="11">
        <v>392.0</v>
      </c>
      <c r="H22" s="11">
        <v>681.0</v>
      </c>
      <c r="I22" s="11">
        <v>289.0</v>
      </c>
      <c r="J22" s="11">
        <v>1529.0</v>
      </c>
      <c r="K22" s="11">
        <v>2936.0</v>
      </c>
      <c r="L22" s="11" t="s">
        <v>116</v>
      </c>
      <c r="M22" s="11" t="s">
        <v>143</v>
      </c>
      <c r="N22" s="11" t="s">
        <v>144</v>
      </c>
    </row>
    <row r="23">
      <c r="A23" s="11" t="s">
        <v>145</v>
      </c>
      <c r="B23" s="11" t="s">
        <v>146</v>
      </c>
      <c r="C23" s="16" t="s">
        <v>147</v>
      </c>
      <c r="D23" s="17">
        <v>45895.0</v>
      </c>
      <c r="E23" s="11">
        <v>5554.0</v>
      </c>
      <c r="F23" s="11" t="s">
        <v>44</v>
      </c>
      <c r="G23" s="11">
        <v>271.0</v>
      </c>
      <c r="H23" s="11">
        <v>469.0</v>
      </c>
      <c r="I23" s="11">
        <v>498.0</v>
      </c>
      <c r="J23" s="11">
        <v>991.0</v>
      </c>
      <c r="K23" s="11">
        <v>1537.0</v>
      </c>
      <c r="L23" s="11" t="s">
        <v>76</v>
      </c>
      <c r="M23" s="11" t="s">
        <v>148</v>
      </c>
    </row>
    <row r="24" hidden="1">
      <c r="A24" s="11" t="s">
        <v>145</v>
      </c>
      <c r="B24" s="11" t="s">
        <v>149</v>
      </c>
      <c r="C24" s="16" t="s">
        <v>150</v>
      </c>
      <c r="D24" s="17">
        <v>46009.0</v>
      </c>
      <c r="E24" s="11">
        <v>40436.0</v>
      </c>
      <c r="F24" s="11" t="s">
        <v>44</v>
      </c>
      <c r="G24" s="11">
        <v>374.0</v>
      </c>
      <c r="H24" s="11">
        <v>910.0</v>
      </c>
      <c r="I24" s="11">
        <v>690.0</v>
      </c>
      <c r="J24" s="11">
        <v>1239.0</v>
      </c>
      <c r="K24" s="11">
        <v>1297.0</v>
      </c>
      <c r="L24" s="11" t="s">
        <v>151</v>
      </c>
      <c r="M24" s="11" t="s">
        <v>148</v>
      </c>
    </row>
    <row r="25" hidden="1">
      <c r="A25" s="11" t="s">
        <v>145</v>
      </c>
      <c r="B25" s="11" t="s">
        <v>152</v>
      </c>
      <c r="C25" s="16" t="s">
        <v>153</v>
      </c>
      <c r="D25" s="17">
        <v>46035.0</v>
      </c>
      <c r="E25" s="11">
        <v>48847.0</v>
      </c>
      <c r="F25" s="11" t="s">
        <v>44</v>
      </c>
      <c r="G25" s="11">
        <v>388.0</v>
      </c>
      <c r="H25" s="11">
        <v>1689.0</v>
      </c>
      <c r="I25" s="11">
        <v>971.0</v>
      </c>
      <c r="J25" s="11">
        <v>919.0</v>
      </c>
      <c r="K25" s="11">
        <v>701.0</v>
      </c>
      <c r="L25" s="11" t="s">
        <v>154</v>
      </c>
      <c r="M25" s="11" t="s">
        <v>148</v>
      </c>
    </row>
    <row r="26">
      <c r="A26" s="11" t="s">
        <v>145</v>
      </c>
      <c r="B26" s="11" t="s">
        <v>155</v>
      </c>
      <c r="C26" s="16" t="s">
        <v>156</v>
      </c>
      <c r="D26" s="17">
        <v>45923.0</v>
      </c>
      <c r="E26" s="11">
        <v>5438.0</v>
      </c>
      <c r="F26" s="11" t="s">
        <v>81</v>
      </c>
      <c r="G26" s="11">
        <v>124.0</v>
      </c>
      <c r="H26" s="11">
        <v>267.0</v>
      </c>
      <c r="I26" s="11">
        <v>264.0</v>
      </c>
      <c r="J26" s="11">
        <v>785.0</v>
      </c>
      <c r="K26" s="11">
        <v>1696.0</v>
      </c>
      <c r="L26" s="11" t="s">
        <v>157</v>
      </c>
      <c r="M26" s="11" t="s">
        <v>148</v>
      </c>
    </row>
    <row r="27">
      <c r="A27" s="11" t="s">
        <v>145</v>
      </c>
      <c r="B27" s="11" t="s">
        <v>158</v>
      </c>
      <c r="C27" s="16" t="s">
        <v>159</v>
      </c>
      <c r="D27" s="17">
        <v>46036.0</v>
      </c>
      <c r="E27" s="11">
        <v>10457.0</v>
      </c>
      <c r="F27" s="11" t="s">
        <v>81</v>
      </c>
      <c r="G27" s="11">
        <v>96.0</v>
      </c>
      <c r="H27" s="11">
        <v>373.0</v>
      </c>
      <c r="I27" s="11">
        <v>243.0</v>
      </c>
      <c r="J27" s="11">
        <v>153.0</v>
      </c>
      <c r="K27" s="11">
        <v>1687.0</v>
      </c>
      <c r="L27" s="11" t="s">
        <v>45</v>
      </c>
      <c r="M27" s="11" t="s">
        <v>148</v>
      </c>
    </row>
    <row r="28">
      <c r="A28" s="11" t="s">
        <v>145</v>
      </c>
      <c r="B28" s="11" t="s">
        <v>160</v>
      </c>
      <c r="C28" s="16" t="s">
        <v>161</v>
      </c>
      <c r="D28" s="17">
        <v>46092.0</v>
      </c>
      <c r="E28" s="11">
        <v>4973.0</v>
      </c>
      <c r="F28" s="11" t="s">
        <v>81</v>
      </c>
      <c r="G28" s="11">
        <v>67.0</v>
      </c>
      <c r="H28" s="11">
        <v>151.0</v>
      </c>
      <c r="I28" s="11">
        <v>101.0</v>
      </c>
      <c r="J28" s="11">
        <v>234.0</v>
      </c>
      <c r="K28" s="11">
        <v>679.0</v>
      </c>
      <c r="L28" s="11" t="s">
        <v>76</v>
      </c>
      <c r="M28" s="11" t="s">
        <v>148</v>
      </c>
    </row>
    <row r="29">
      <c r="A29" s="11" t="s">
        <v>145</v>
      </c>
      <c r="B29" s="11" t="s">
        <v>162</v>
      </c>
      <c r="C29" s="16" t="s">
        <v>163</v>
      </c>
      <c r="D29" s="17">
        <v>45757.0</v>
      </c>
      <c r="E29" s="11">
        <v>4417.0</v>
      </c>
      <c r="F29" s="11" t="s">
        <v>164</v>
      </c>
      <c r="G29" s="11">
        <v>79.0</v>
      </c>
      <c r="H29" s="11">
        <v>145.0</v>
      </c>
      <c r="I29" s="11">
        <v>102.0</v>
      </c>
      <c r="J29" s="11">
        <v>708.0</v>
      </c>
      <c r="K29" s="11">
        <v>790.0</v>
      </c>
      <c r="L29" s="11" t="s">
        <v>76</v>
      </c>
      <c r="M29" s="11" t="s">
        <v>148</v>
      </c>
    </row>
    <row r="30" hidden="1">
      <c r="A30" s="11" t="s">
        <v>145</v>
      </c>
      <c r="B30" s="11" t="s">
        <v>165</v>
      </c>
      <c r="C30" s="16" t="s">
        <v>166</v>
      </c>
      <c r="D30" s="17">
        <v>46054.0</v>
      </c>
      <c r="E30" s="11">
        <v>2531.0</v>
      </c>
      <c r="F30" s="11" t="s">
        <v>164</v>
      </c>
      <c r="G30" s="11">
        <v>101.0</v>
      </c>
      <c r="H30" s="11">
        <v>424.0</v>
      </c>
      <c r="I30" s="11">
        <v>596.0</v>
      </c>
      <c r="J30" s="11">
        <v>198.0</v>
      </c>
      <c r="K30" s="11">
        <v>739.0</v>
      </c>
      <c r="L30" s="11" t="s">
        <v>167</v>
      </c>
      <c r="M30" s="11" t="s">
        <v>148</v>
      </c>
    </row>
    <row r="31" hidden="1">
      <c r="A31" s="11" t="s">
        <v>145</v>
      </c>
      <c r="B31" s="11" t="s">
        <v>168</v>
      </c>
      <c r="C31" s="16" t="s">
        <v>169</v>
      </c>
      <c r="D31" s="17">
        <v>45726.0</v>
      </c>
      <c r="E31" s="11">
        <v>4519.0</v>
      </c>
      <c r="F31" s="11" t="s">
        <v>170</v>
      </c>
      <c r="G31" s="11">
        <v>41.0</v>
      </c>
      <c r="H31" s="11">
        <v>105.0</v>
      </c>
      <c r="I31" s="11">
        <v>90.0</v>
      </c>
      <c r="J31" s="11">
        <v>280.0</v>
      </c>
      <c r="K31" s="11">
        <v>413.0</v>
      </c>
      <c r="L31" s="11" t="s">
        <v>154</v>
      </c>
      <c r="M31" s="11" t="s">
        <v>148</v>
      </c>
    </row>
    <row r="32">
      <c r="A32" s="11" t="s">
        <v>145</v>
      </c>
      <c r="B32" s="11" t="s">
        <v>171</v>
      </c>
      <c r="C32" s="16" t="s">
        <v>172</v>
      </c>
      <c r="D32" s="17">
        <v>46051.0</v>
      </c>
      <c r="E32" s="11">
        <v>2087.0</v>
      </c>
      <c r="F32" s="11" t="s">
        <v>170</v>
      </c>
      <c r="G32" s="11">
        <v>122.0</v>
      </c>
      <c r="H32" s="11">
        <v>352.0</v>
      </c>
      <c r="I32" s="11">
        <v>168.0</v>
      </c>
      <c r="J32" s="11">
        <v>447.0</v>
      </c>
      <c r="K32" s="11">
        <v>628.0</v>
      </c>
      <c r="L32" s="11" t="s">
        <v>45</v>
      </c>
      <c r="M32" s="11" t="s">
        <v>148</v>
      </c>
    </row>
    <row r="33" hidden="1">
      <c r="A33" s="11" t="s">
        <v>145</v>
      </c>
      <c r="B33" s="11" t="s">
        <v>173</v>
      </c>
      <c r="C33" s="16" t="s">
        <v>174</v>
      </c>
      <c r="D33" s="17">
        <v>45861.0</v>
      </c>
      <c r="E33" s="11">
        <v>9706.0</v>
      </c>
      <c r="F33" s="11" t="s">
        <v>175</v>
      </c>
      <c r="G33" s="11">
        <v>126.0</v>
      </c>
      <c r="H33" s="11">
        <v>524.0</v>
      </c>
      <c r="I33" s="11">
        <v>186.0</v>
      </c>
      <c r="J33" s="11">
        <v>831.0</v>
      </c>
      <c r="K33" s="11">
        <v>1585.0</v>
      </c>
      <c r="L33" s="11" t="s">
        <v>116</v>
      </c>
      <c r="M33" s="11" t="s">
        <v>148</v>
      </c>
    </row>
    <row r="34">
      <c r="A34" s="11" t="s">
        <v>145</v>
      </c>
      <c r="B34" s="11" t="s">
        <v>176</v>
      </c>
      <c r="C34" s="16" t="s">
        <v>177</v>
      </c>
      <c r="D34" s="17">
        <v>45975.0</v>
      </c>
      <c r="E34" s="11">
        <v>2318.0</v>
      </c>
      <c r="F34" s="11" t="s">
        <v>178</v>
      </c>
      <c r="G34" s="11">
        <v>43.0</v>
      </c>
      <c r="H34" s="11">
        <v>105.0</v>
      </c>
      <c r="I34" s="11">
        <v>51.0</v>
      </c>
      <c r="J34" s="11">
        <v>152.0</v>
      </c>
      <c r="K34" s="11">
        <v>494.0</v>
      </c>
      <c r="L34" s="11" t="s">
        <v>45</v>
      </c>
      <c r="M34" s="11" t="s">
        <v>148</v>
      </c>
    </row>
    <row r="35">
      <c r="A35" s="11" t="s">
        <v>145</v>
      </c>
      <c r="B35" s="11" t="s">
        <v>179</v>
      </c>
      <c r="C35" s="16" t="s">
        <v>180</v>
      </c>
      <c r="D35" s="17">
        <v>45792.0</v>
      </c>
      <c r="E35" s="11">
        <v>5613.0</v>
      </c>
      <c r="F35" s="11" t="s">
        <v>181</v>
      </c>
      <c r="G35" s="11">
        <v>155.0</v>
      </c>
      <c r="H35" s="11">
        <v>606.0</v>
      </c>
      <c r="I35" s="11">
        <v>368.0</v>
      </c>
      <c r="J35" s="11">
        <v>86.0</v>
      </c>
      <c r="K35" s="11">
        <v>264.0</v>
      </c>
      <c r="L35" s="11" t="s">
        <v>76</v>
      </c>
      <c r="M35" s="11" t="s">
        <v>148</v>
      </c>
    </row>
    <row r="36">
      <c r="A36" s="11" t="s">
        <v>145</v>
      </c>
      <c r="B36" s="11" t="s">
        <v>182</v>
      </c>
      <c r="C36" s="16" t="s">
        <v>183</v>
      </c>
      <c r="D36" s="17">
        <v>45785.0</v>
      </c>
      <c r="E36" s="11">
        <v>4422.0</v>
      </c>
      <c r="F36" s="11" t="s">
        <v>55</v>
      </c>
      <c r="G36" s="11">
        <v>248.0</v>
      </c>
      <c r="H36" s="11">
        <v>410.0</v>
      </c>
      <c r="I36" s="11">
        <v>1032.0</v>
      </c>
      <c r="J36" s="11">
        <v>955.0</v>
      </c>
      <c r="K36" s="11">
        <v>591.0</v>
      </c>
      <c r="L36" s="11" t="s">
        <v>76</v>
      </c>
      <c r="M36" s="11" t="s">
        <v>125</v>
      </c>
    </row>
    <row r="37">
      <c r="A37" s="11" t="s">
        <v>145</v>
      </c>
      <c r="B37" s="11" t="s">
        <v>184</v>
      </c>
      <c r="C37" s="16" t="s">
        <v>185</v>
      </c>
      <c r="D37" s="17">
        <v>45775.0</v>
      </c>
      <c r="E37" s="11">
        <v>13328.0</v>
      </c>
      <c r="F37" s="11" t="s">
        <v>55</v>
      </c>
      <c r="G37" s="11">
        <v>272.0</v>
      </c>
      <c r="H37" s="11">
        <v>708.0</v>
      </c>
      <c r="I37" s="11">
        <v>641.0</v>
      </c>
      <c r="J37" s="11">
        <v>299.0</v>
      </c>
      <c r="K37" s="11">
        <v>888.0</v>
      </c>
      <c r="L37" s="11" t="s">
        <v>45</v>
      </c>
      <c r="M37" s="11" t="s">
        <v>148</v>
      </c>
    </row>
    <row r="38">
      <c r="A38" s="11" t="s">
        <v>145</v>
      </c>
      <c r="B38" s="11" t="s">
        <v>186</v>
      </c>
      <c r="C38" s="16" t="s">
        <v>187</v>
      </c>
      <c r="D38" s="17">
        <v>45784.0</v>
      </c>
      <c r="E38" s="11">
        <v>81353.0</v>
      </c>
      <c r="F38" s="11" t="s">
        <v>55</v>
      </c>
      <c r="G38" s="11">
        <v>394.0</v>
      </c>
      <c r="H38" s="11">
        <v>912.0</v>
      </c>
      <c r="I38" s="11">
        <v>542.0</v>
      </c>
      <c r="J38" s="11">
        <v>658.0</v>
      </c>
      <c r="K38" s="11">
        <v>723.0</v>
      </c>
      <c r="L38" s="11" t="s">
        <v>45</v>
      </c>
      <c r="M38" s="11" t="s">
        <v>148</v>
      </c>
    </row>
    <row r="39" hidden="1">
      <c r="A39" s="11" t="s">
        <v>145</v>
      </c>
      <c r="B39" s="11" t="s">
        <v>188</v>
      </c>
      <c r="C39" s="16" t="s">
        <v>189</v>
      </c>
      <c r="D39" s="17">
        <v>46071.0</v>
      </c>
      <c r="E39" s="11">
        <v>39406.0</v>
      </c>
      <c r="F39" s="11" t="s">
        <v>120</v>
      </c>
      <c r="G39" s="11">
        <v>830.0</v>
      </c>
      <c r="H39" s="11">
        <v>1341.0</v>
      </c>
      <c r="I39" s="11">
        <v>779.0</v>
      </c>
      <c r="J39" s="11">
        <v>149.0</v>
      </c>
      <c r="K39" s="11">
        <v>3032.0</v>
      </c>
      <c r="L39" s="11" t="s">
        <v>167</v>
      </c>
      <c r="M39" s="11" t="s">
        <v>148</v>
      </c>
    </row>
    <row r="40" hidden="1">
      <c r="A40" s="11" t="s">
        <v>145</v>
      </c>
      <c r="B40" s="11" t="s">
        <v>190</v>
      </c>
      <c r="C40" s="16" t="s">
        <v>191</v>
      </c>
      <c r="D40" s="17">
        <v>45719.0</v>
      </c>
      <c r="E40" s="11">
        <v>7965.0</v>
      </c>
      <c r="F40" s="11" t="s">
        <v>120</v>
      </c>
      <c r="G40" s="11">
        <v>138.0</v>
      </c>
      <c r="H40" s="11">
        <v>1914.0</v>
      </c>
      <c r="I40" s="11">
        <v>341.0</v>
      </c>
      <c r="J40" s="11">
        <v>86.0</v>
      </c>
      <c r="K40" s="11">
        <v>1101.0</v>
      </c>
      <c r="L40" s="11" t="s">
        <v>154</v>
      </c>
      <c r="M40" s="11" t="s">
        <v>148</v>
      </c>
    </row>
    <row r="41">
      <c r="A41" s="11" t="s">
        <v>145</v>
      </c>
      <c r="B41" s="11" t="s">
        <v>192</v>
      </c>
      <c r="C41" s="16" t="s">
        <v>193</v>
      </c>
      <c r="D41" s="17">
        <v>45734.0</v>
      </c>
      <c r="E41" s="11">
        <v>4717.0</v>
      </c>
      <c r="F41" s="11" t="s">
        <v>120</v>
      </c>
      <c r="G41" s="11">
        <v>125.0</v>
      </c>
      <c r="H41" s="11">
        <v>677.0</v>
      </c>
      <c r="I41" s="11">
        <v>364.0</v>
      </c>
      <c r="J41" s="11">
        <v>35.0</v>
      </c>
      <c r="K41" s="11">
        <v>395.0</v>
      </c>
      <c r="L41" s="11" t="s">
        <v>76</v>
      </c>
      <c r="M41" s="11" t="s">
        <v>148</v>
      </c>
    </row>
  </sheetData>
  <autoFilter ref="$A$1:$N$41">
    <filterColumn colId="11">
      <filters>
        <filter val="Apache-2.0"/>
        <filter val="MIT"/>
        <filter val="?"/>
      </filters>
    </filterColumn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15</v>
      </c>
      <c r="B1" s="11" t="s">
        <v>23</v>
      </c>
      <c r="C1" s="11" t="s">
        <v>25</v>
      </c>
      <c r="D1" s="11" t="s">
        <v>27</v>
      </c>
      <c r="E1" s="11" t="s">
        <v>29</v>
      </c>
      <c r="F1" s="11" t="s">
        <v>31</v>
      </c>
      <c r="G1" s="11" t="s">
        <v>32</v>
      </c>
      <c r="I1" s="11" t="s">
        <v>33</v>
      </c>
    </row>
    <row r="2">
      <c r="A2" s="11" t="s">
        <v>34</v>
      </c>
      <c r="B2" s="11" t="s">
        <v>35</v>
      </c>
      <c r="C2" s="11" t="s">
        <v>36</v>
      </c>
      <c r="D2" s="11" t="s">
        <v>37</v>
      </c>
      <c r="E2" s="11" t="s">
        <v>38</v>
      </c>
      <c r="F2" s="11" t="s">
        <v>39</v>
      </c>
      <c r="G2" s="11" t="s">
        <v>40</v>
      </c>
      <c r="J2" s="18" t="str">
        <f t="shared" ref="J2:J6" si="1">IFERROR(TRANSPOSE(INDEX($A$2:$G$8,0,MATCH(tasks_tb4!F2,$A$1:$G$1,0))),"")</f>
        <v/>
      </c>
    </row>
    <row r="3">
      <c r="A3" s="11" t="s">
        <v>50</v>
      </c>
      <c r="B3" s="11" t="s">
        <v>51</v>
      </c>
      <c r="C3" s="11" t="s">
        <v>52</v>
      </c>
      <c r="D3" s="11" t="s">
        <v>53</v>
      </c>
      <c r="E3" s="11" t="s">
        <v>54</v>
      </c>
      <c r="F3" s="11" t="s">
        <v>56</v>
      </c>
      <c r="G3" s="11" t="s">
        <v>57</v>
      </c>
      <c r="J3" s="18" t="str">
        <f t="shared" si="1"/>
        <v/>
      </c>
    </row>
    <row r="4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64</v>
      </c>
      <c r="J4" s="18" t="str">
        <f t="shared" si="1"/>
        <v/>
      </c>
    </row>
    <row r="5">
      <c r="A5" s="11" t="s">
        <v>67</v>
      </c>
      <c r="B5" s="11" t="s">
        <v>68</v>
      </c>
      <c r="C5" s="11" t="s">
        <v>69</v>
      </c>
      <c r="D5" s="11" t="s">
        <v>70</v>
      </c>
      <c r="J5" s="18" t="str">
        <f t="shared" si="1"/>
        <v/>
      </c>
    </row>
    <row r="6">
      <c r="A6" s="11" t="s">
        <v>71</v>
      </c>
      <c r="B6" s="11" t="s">
        <v>72</v>
      </c>
      <c r="C6" s="11" t="s">
        <v>73</v>
      </c>
      <c r="J6" s="18" t="str">
        <f t="shared" si="1"/>
        <v/>
      </c>
    </row>
    <row r="7">
      <c r="B7" s="11" t="s">
        <v>74</v>
      </c>
      <c r="C7" s="11" t="s">
        <v>75</v>
      </c>
      <c r="J7" s="18" t="str">
        <f t="shared" ref="J7:J11" si="2">IFERROR(TRANSPOSE(INDEX($A$2:$G$8,0,MATCH(tasks_tb4!F8,$A$1:$G$1,0))),"")</f>
        <v/>
      </c>
    </row>
    <row r="8">
      <c r="B8" s="11" t="s">
        <v>80</v>
      </c>
      <c r="J8" s="18" t="str">
        <f t="shared" si="2"/>
        <v/>
      </c>
    </row>
    <row r="9">
      <c r="J9" s="18" t="str">
        <f t="shared" si="2"/>
        <v/>
      </c>
    </row>
    <row r="10">
      <c r="J10" s="18" t="str">
        <f t="shared" si="2"/>
        <v/>
      </c>
    </row>
    <row r="11">
      <c r="J11" s="18" t="str">
        <f t="shared" si="2"/>
        <v/>
      </c>
    </row>
    <row r="12">
      <c r="J12" s="18" t="str">
        <f t="shared" ref="J12:J40" si="3">IFERROR(TRANSPOSE(INDEX($A$2:$G$8,0,MATCH(tasks_tb4!F14,$A$1:$G$1,0))),"")</f>
        <v/>
      </c>
    </row>
    <row r="13">
      <c r="J13" s="18" t="str">
        <f t="shared" si="3"/>
        <v/>
      </c>
    </row>
    <row r="14">
      <c r="J14" s="18" t="str">
        <f t="shared" si="3"/>
        <v/>
      </c>
    </row>
    <row r="15">
      <c r="J15" s="18" t="str">
        <f t="shared" si="3"/>
        <v/>
      </c>
    </row>
    <row r="16">
      <c r="J16" s="18" t="str">
        <f t="shared" si="3"/>
        <v/>
      </c>
    </row>
    <row r="17">
      <c r="J17" s="18" t="str">
        <f t="shared" si="3"/>
        <v/>
      </c>
    </row>
    <row r="18">
      <c r="J18" s="18" t="str">
        <f t="shared" si="3"/>
        <v/>
      </c>
    </row>
    <row r="19">
      <c r="J19" s="18" t="str">
        <f t="shared" si="3"/>
        <v/>
      </c>
    </row>
    <row r="20">
      <c r="J20" s="18" t="str">
        <f t="shared" si="3"/>
        <v/>
      </c>
    </row>
    <row r="21">
      <c r="J21" s="18" t="str">
        <f t="shared" si="3"/>
        <v/>
      </c>
    </row>
    <row r="22">
      <c r="J22" s="18" t="str">
        <f t="shared" si="3"/>
        <v/>
      </c>
    </row>
    <row r="23">
      <c r="J23" s="18" t="str">
        <f t="shared" si="3"/>
        <v/>
      </c>
    </row>
    <row r="24">
      <c r="J24" s="18" t="str">
        <f t="shared" si="3"/>
        <v/>
      </c>
    </row>
    <row r="25">
      <c r="J25" s="18" t="str">
        <f t="shared" si="3"/>
        <v/>
      </c>
    </row>
    <row r="26">
      <c r="J26" s="18" t="str">
        <f t="shared" si="3"/>
        <v/>
      </c>
    </row>
    <row r="27">
      <c r="J27" s="18" t="str">
        <f t="shared" si="3"/>
        <v/>
      </c>
    </row>
    <row r="28">
      <c r="J28" s="18" t="str">
        <f t="shared" si="3"/>
        <v/>
      </c>
    </row>
    <row r="29">
      <c r="J29" s="18" t="str">
        <f t="shared" si="3"/>
        <v/>
      </c>
    </row>
    <row r="30">
      <c r="J30" s="18" t="str">
        <f t="shared" si="3"/>
        <v/>
      </c>
    </row>
    <row r="31">
      <c r="J31" s="18" t="str">
        <f t="shared" si="3"/>
        <v/>
      </c>
    </row>
    <row r="32">
      <c r="J32" s="18" t="str">
        <f t="shared" si="3"/>
        <v/>
      </c>
    </row>
    <row r="33">
      <c r="J33" s="18" t="str">
        <f t="shared" si="3"/>
        <v/>
      </c>
    </row>
    <row r="34">
      <c r="J34" s="18" t="str">
        <f t="shared" si="3"/>
        <v/>
      </c>
    </row>
    <row r="35">
      <c r="J35" s="18" t="str">
        <f t="shared" si="3"/>
        <v/>
      </c>
    </row>
    <row r="36">
      <c r="J36" s="18" t="str">
        <f t="shared" si="3"/>
        <v/>
      </c>
    </row>
    <row r="37">
      <c r="J37" s="18" t="str">
        <f t="shared" si="3"/>
        <v/>
      </c>
    </row>
    <row r="38">
      <c r="J38" s="18" t="str">
        <f t="shared" si="3"/>
        <v/>
      </c>
    </row>
    <row r="39">
      <c r="J39" s="18" t="str">
        <f t="shared" si="3"/>
        <v/>
      </c>
    </row>
    <row r="40">
      <c r="J40" s="18" t="str">
        <f t="shared" si="3"/>
        <v/>
      </c>
    </row>
    <row r="41">
      <c r="J41" s="18" t="str">
        <f t="shared" ref="J41:J200" si="4">IFERROR(TRANSPOSE(INDEX($A$2:$G$8,0,MATCH(tasks_tb4!F46,$A$1:$G$1,0))),"")</f>
        <v/>
      </c>
    </row>
    <row r="42">
      <c r="J42" s="18" t="str">
        <f t="shared" si="4"/>
        <v/>
      </c>
    </row>
    <row r="43">
      <c r="J43" s="18" t="str">
        <f t="shared" si="4"/>
        <v/>
      </c>
    </row>
    <row r="44">
      <c r="J44" s="18" t="str">
        <f t="shared" si="4"/>
        <v/>
      </c>
    </row>
    <row r="45">
      <c r="J45" s="18" t="str">
        <f t="shared" si="4"/>
        <v/>
      </c>
    </row>
    <row r="46">
      <c r="J46" s="18" t="str">
        <f t="shared" si="4"/>
        <v/>
      </c>
    </row>
    <row r="47">
      <c r="J47" s="18" t="str">
        <f t="shared" si="4"/>
        <v/>
      </c>
    </row>
    <row r="48">
      <c r="J48" s="18" t="str">
        <f t="shared" si="4"/>
        <v/>
      </c>
    </row>
    <row r="49">
      <c r="J49" s="18" t="str">
        <f t="shared" si="4"/>
        <v/>
      </c>
    </row>
    <row r="50">
      <c r="J50" s="18" t="str">
        <f t="shared" si="4"/>
        <v/>
      </c>
    </row>
    <row r="51">
      <c r="J51" s="18" t="str">
        <f t="shared" si="4"/>
        <v/>
      </c>
    </row>
    <row r="52">
      <c r="J52" s="18" t="str">
        <f t="shared" si="4"/>
        <v/>
      </c>
    </row>
    <row r="53">
      <c r="J53" s="18" t="str">
        <f t="shared" si="4"/>
        <v/>
      </c>
    </row>
    <row r="54">
      <c r="J54" s="18" t="str">
        <f t="shared" si="4"/>
        <v/>
      </c>
    </row>
    <row r="55">
      <c r="J55" s="18" t="str">
        <f t="shared" si="4"/>
        <v/>
      </c>
    </row>
    <row r="56">
      <c r="J56" s="18" t="str">
        <f t="shared" si="4"/>
        <v/>
      </c>
    </row>
    <row r="57">
      <c r="J57" s="18" t="str">
        <f t="shared" si="4"/>
        <v/>
      </c>
    </row>
    <row r="58">
      <c r="J58" s="18" t="str">
        <f t="shared" si="4"/>
        <v/>
      </c>
    </row>
    <row r="59">
      <c r="J59" s="18" t="str">
        <f t="shared" si="4"/>
        <v/>
      </c>
    </row>
    <row r="60">
      <c r="J60" s="18" t="str">
        <f t="shared" si="4"/>
        <v/>
      </c>
    </row>
    <row r="61">
      <c r="J61" s="18" t="str">
        <f t="shared" si="4"/>
        <v/>
      </c>
    </row>
    <row r="62">
      <c r="J62" s="18" t="str">
        <f t="shared" si="4"/>
        <v/>
      </c>
    </row>
    <row r="63">
      <c r="J63" s="18" t="str">
        <f t="shared" si="4"/>
        <v/>
      </c>
    </row>
    <row r="64">
      <c r="J64" s="18" t="str">
        <f t="shared" si="4"/>
        <v/>
      </c>
    </row>
    <row r="65">
      <c r="J65" s="18" t="str">
        <f t="shared" si="4"/>
        <v/>
      </c>
    </row>
    <row r="66">
      <c r="J66" s="18" t="str">
        <f t="shared" si="4"/>
        <v/>
      </c>
    </row>
    <row r="67">
      <c r="J67" s="18" t="str">
        <f t="shared" si="4"/>
        <v/>
      </c>
    </row>
    <row r="68">
      <c r="J68" s="18" t="str">
        <f t="shared" si="4"/>
        <v/>
      </c>
    </row>
    <row r="69">
      <c r="J69" s="18" t="str">
        <f t="shared" si="4"/>
        <v/>
      </c>
    </row>
    <row r="70">
      <c r="J70" s="18" t="str">
        <f t="shared" si="4"/>
        <v/>
      </c>
    </row>
    <row r="71">
      <c r="J71" s="18" t="str">
        <f t="shared" si="4"/>
        <v/>
      </c>
    </row>
    <row r="72">
      <c r="J72" s="18" t="str">
        <f t="shared" si="4"/>
        <v/>
      </c>
    </row>
    <row r="73">
      <c r="J73" s="18" t="str">
        <f t="shared" si="4"/>
        <v/>
      </c>
    </row>
    <row r="74">
      <c r="J74" s="18" t="str">
        <f t="shared" si="4"/>
        <v/>
      </c>
    </row>
    <row r="75">
      <c r="J75" s="18" t="str">
        <f t="shared" si="4"/>
        <v/>
      </c>
    </row>
    <row r="76">
      <c r="J76" s="18" t="str">
        <f t="shared" si="4"/>
        <v/>
      </c>
    </row>
    <row r="77">
      <c r="J77" s="18" t="str">
        <f t="shared" si="4"/>
        <v/>
      </c>
    </row>
    <row r="78">
      <c r="J78" s="18" t="str">
        <f t="shared" si="4"/>
        <v/>
      </c>
    </row>
    <row r="79">
      <c r="J79" s="18" t="str">
        <f t="shared" si="4"/>
        <v/>
      </c>
    </row>
    <row r="80">
      <c r="J80" s="18" t="str">
        <f t="shared" si="4"/>
        <v/>
      </c>
    </row>
    <row r="81">
      <c r="J81" s="18" t="str">
        <f t="shared" si="4"/>
        <v/>
      </c>
    </row>
    <row r="82">
      <c r="J82" s="18" t="str">
        <f t="shared" si="4"/>
        <v/>
      </c>
    </row>
    <row r="83">
      <c r="J83" s="18" t="str">
        <f t="shared" si="4"/>
        <v/>
      </c>
    </row>
    <row r="84">
      <c r="J84" s="18" t="str">
        <f t="shared" si="4"/>
        <v/>
      </c>
    </row>
    <row r="85">
      <c r="J85" s="18" t="str">
        <f t="shared" si="4"/>
        <v/>
      </c>
    </row>
    <row r="86">
      <c r="J86" s="18" t="str">
        <f t="shared" si="4"/>
        <v/>
      </c>
    </row>
    <row r="87">
      <c r="J87" s="18" t="str">
        <f t="shared" si="4"/>
        <v/>
      </c>
    </row>
    <row r="88">
      <c r="J88" s="18" t="str">
        <f t="shared" si="4"/>
        <v/>
      </c>
    </row>
    <row r="89">
      <c r="J89" s="18" t="str">
        <f t="shared" si="4"/>
        <v/>
      </c>
    </row>
    <row r="90">
      <c r="J90" s="18" t="str">
        <f t="shared" si="4"/>
        <v/>
      </c>
    </row>
    <row r="91">
      <c r="J91" s="18" t="str">
        <f t="shared" si="4"/>
        <v/>
      </c>
    </row>
    <row r="92">
      <c r="J92" s="18" t="str">
        <f t="shared" si="4"/>
        <v/>
      </c>
    </row>
    <row r="93">
      <c r="J93" s="18" t="str">
        <f t="shared" si="4"/>
        <v/>
      </c>
    </row>
    <row r="94">
      <c r="J94" s="18" t="str">
        <f t="shared" si="4"/>
        <v/>
      </c>
    </row>
    <row r="95">
      <c r="J95" s="18" t="str">
        <f t="shared" si="4"/>
        <v/>
      </c>
    </row>
    <row r="96">
      <c r="J96" s="18" t="str">
        <f t="shared" si="4"/>
        <v/>
      </c>
    </row>
    <row r="97">
      <c r="J97" s="18" t="str">
        <f t="shared" si="4"/>
        <v/>
      </c>
    </row>
    <row r="98">
      <c r="J98" s="18" t="str">
        <f t="shared" si="4"/>
        <v/>
      </c>
    </row>
    <row r="99">
      <c r="J99" s="18" t="str">
        <f t="shared" si="4"/>
        <v/>
      </c>
    </row>
    <row r="100">
      <c r="J100" s="18" t="str">
        <f t="shared" si="4"/>
        <v/>
      </c>
    </row>
    <row r="101">
      <c r="J101" s="18" t="str">
        <f t="shared" si="4"/>
        <v/>
      </c>
    </row>
    <row r="102">
      <c r="J102" s="18" t="str">
        <f t="shared" si="4"/>
        <v/>
      </c>
    </row>
    <row r="103">
      <c r="J103" s="18" t="str">
        <f t="shared" si="4"/>
        <v/>
      </c>
    </row>
    <row r="104">
      <c r="J104" s="18" t="str">
        <f t="shared" si="4"/>
        <v/>
      </c>
    </row>
    <row r="105">
      <c r="J105" s="18" t="str">
        <f t="shared" si="4"/>
        <v/>
      </c>
    </row>
    <row r="106">
      <c r="J106" s="18" t="str">
        <f t="shared" si="4"/>
        <v/>
      </c>
    </row>
    <row r="107">
      <c r="J107" s="18" t="str">
        <f t="shared" si="4"/>
        <v/>
      </c>
    </row>
    <row r="108">
      <c r="J108" s="18" t="str">
        <f t="shared" si="4"/>
        <v/>
      </c>
    </row>
    <row r="109">
      <c r="J109" s="18" t="str">
        <f t="shared" si="4"/>
        <v/>
      </c>
    </row>
    <row r="110">
      <c r="J110" s="18" t="str">
        <f t="shared" si="4"/>
        <v/>
      </c>
    </row>
    <row r="111">
      <c r="J111" s="18" t="str">
        <f t="shared" si="4"/>
        <v/>
      </c>
    </row>
    <row r="112">
      <c r="J112" s="18" t="str">
        <f t="shared" si="4"/>
        <v/>
      </c>
    </row>
    <row r="113">
      <c r="J113" s="18" t="str">
        <f t="shared" si="4"/>
        <v/>
      </c>
    </row>
    <row r="114">
      <c r="J114" s="18" t="str">
        <f t="shared" si="4"/>
        <v/>
      </c>
    </row>
    <row r="115">
      <c r="J115" s="18" t="str">
        <f t="shared" si="4"/>
        <v/>
      </c>
    </row>
    <row r="116">
      <c r="J116" s="18" t="str">
        <f t="shared" si="4"/>
        <v/>
      </c>
    </row>
    <row r="117">
      <c r="J117" s="18" t="str">
        <f t="shared" si="4"/>
        <v/>
      </c>
    </row>
    <row r="118">
      <c r="J118" s="18" t="str">
        <f t="shared" si="4"/>
        <v/>
      </c>
    </row>
    <row r="119">
      <c r="J119" s="18" t="str">
        <f t="shared" si="4"/>
        <v/>
      </c>
    </row>
    <row r="120">
      <c r="J120" s="18" t="str">
        <f t="shared" si="4"/>
        <v/>
      </c>
    </row>
    <row r="121">
      <c r="J121" s="18" t="str">
        <f t="shared" si="4"/>
        <v/>
      </c>
    </row>
    <row r="122">
      <c r="J122" s="18" t="str">
        <f t="shared" si="4"/>
        <v/>
      </c>
    </row>
    <row r="123">
      <c r="J123" s="18" t="str">
        <f t="shared" si="4"/>
        <v/>
      </c>
    </row>
    <row r="124">
      <c r="J124" s="18" t="str">
        <f t="shared" si="4"/>
        <v/>
      </c>
    </row>
    <row r="125">
      <c r="J125" s="18" t="str">
        <f t="shared" si="4"/>
        <v/>
      </c>
    </row>
    <row r="126">
      <c r="J126" s="18" t="str">
        <f t="shared" si="4"/>
        <v/>
      </c>
    </row>
    <row r="127">
      <c r="J127" s="18" t="str">
        <f t="shared" si="4"/>
        <v/>
      </c>
    </row>
    <row r="128">
      <c r="J128" s="18" t="str">
        <f t="shared" si="4"/>
        <v/>
      </c>
    </row>
    <row r="129">
      <c r="J129" s="18" t="str">
        <f t="shared" si="4"/>
        <v/>
      </c>
    </row>
    <row r="130">
      <c r="J130" s="18" t="str">
        <f t="shared" si="4"/>
        <v/>
      </c>
    </row>
    <row r="131">
      <c r="J131" s="18" t="str">
        <f t="shared" si="4"/>
        <v/>
      </c>
    </row>
    <row r="132">
      <c r="J132" s="18" t="str">
        <f t="shared" si="4"/>
        <v/>
      </c>
    </row>
    <row r="133">
      <c r="J133" s="18" t="str">
        <f t="shared" si="4"/>
        <v/>
      </c>
    </row>
    <row r="134">
      <c r="J134" s="18" t="str">
        <f t="shared" si="4"/>
        <v/>
      </c>
    </row>
    <row r="135">
      <c r="J135" s="18" t="str">
        <f t="shared" si="4"/>
        <v/>
      </c>
    </row>
    <row r="136">
      <c r="J136" s="18" t="str">
        <f t="shared" si="4"/>
        <v/>
      </c>
    </row>
    <row r="137">
      <c r="J137" s="18" t="str">
        <f t="shared" si="4"/>
        <v/>
      </c>
    </row>
    <row r="138">
      <c r="J138" s="18" t="str">
        <f t="shared" si="4"/>
        <v/>
      </c>
    </row>
    <row r="139">
      <c r="J139" s="18" t="str">
        <f t="shared" si="4"/>
        <v/>
      </c>
    </row>
    <row r="140">
      <c r="J140" s="18" t="str">
        <f t="shared" si="4"/>
        <v/>
      </c>
    </row>
    <row r="141">
      <c r="J141" s="18" t="str">
        <f t="shared" si="4"/>
        <v/>
      </c>
    </row>
    <row r="142">
      <c r="J142" s="18" t="str">
        <f t="shared" si="4"/>
        <v/>
      </c>
    </row>
    <row r="143">
      <c r="J143" s="18" t="str">
        <f t="shared" si="4"/>
        <v/>
      </c>
    </row>
    <row r="144">
      <c r="J144" s="18" t="str">
        <f t="shared" si="4"/>
        <v/>
      </c>
    </row>
    <row r="145">
      <c r="J145" s="18" t="str">
        <f t="shared" si="4"/>
        <v/>
      </c>
    </row>
    <row r="146">
      <c r="J146" s="18" t="str">
        <f t="shared" si="4"/>
        <v/>
      </c>
    </row>
    <row r="147">
      <c r="J147" s="18" t="str">
        <f t="shared" si="4"/>
        <v/>
      </c>
    </row>
    <row r="148">
      <c r="J148" s="18" t="str">
        <f t="shared" si="4"/>
        <v/>
      </c>
    </row>
    <row r="149">
      <c r="J149" s="18" t="str">
        <f t="shared" si="4"/>
        <v/>
      </c>
    </row>
    <row r="150">
      <c r="J150" s="18" t="str">
        <f t="shared" si="4"/>
        <v/>
      </c>
    </row>
    <row r="151">
      <c r="J151" s="18" t="str">
        <f t="shared" si="4"/>
        <v/>
      </c>
    </row>
    <row r="152">
      <c r="J152" s="18" t="str">
        <f t="shared" si="4"/>
        <v/>
      </c>
    </row>
    <row r="153">
      <c r="J153" s="18" t="str">
        <f t="shared" si="4"/>
        <v/>
      </c>
    </row>
    <row r="154">
      <c r="J154" s="18" t="str">
        <f t="shared" si="4"/>
        <v/>
      </c>
    </row>
    <row r="155">
      <c r="J155" s="18" t="str">
        <f t="shared" si="4"/>
        <v/>
      </c>
    </row>
    <row r="156">
      <c r="J156" s="18" t="str">
        <f t="shared" si="4"/>
        <v/>
      </c>
    </row>
    <row r="157">
      <c r="J157" s="18" t="str">
        <f t="shared" si="4"/>
        <v/>
      </c>
    </row>
    <row r="158">
      <c r="J158" s="18" t="str">
        <f t="shared" si="4"/>
        <v/>
      </c>
    </row>
    <row r="159">
      <c r="J159" s="18" t="str">
        <f t="shared" si="4"/>
        <v/>
      </c>
    </row>
    <row r="160">
      <c r="J160" s="18" t="str">
        <f t="shared" si="4"/>
        <v/>
      </c>
    </row>
    <row r="161">
      <c r="J161" s="18" t="str">
        <f t="shared" si="4"/>
        <v/>
      </c>
    </row>
    <row r="162">
      <c r="J162" s="18" t="str">
        <f t="shared" si="4"/>
        <v/>
      </c>
    </row>
    <row r="163">
      <c r="J163" s="18" t="str">
        <f t="shared" si="4"/>
        <v/>
      </c>
    </row>
    <row r="164">
      <c r="J164" s="18" t="str">
        <f t="shared" si="4"/>
        <v/>
      </c>
    </row>
    <row r="165">
      <c r="J165" s="18" t="str">
        <f t="shared" si="4"/>
        <v/>
      </c>
    </row>
    <row r="166">
      <c r="J166" s="18" t="str">
        <f t="shared" si="4"/>
        <v/>
      </c>
    </row>
    <row r="167">
      <c r="J167" s="18" t="str">
        <f t="shared" si="4"/>
        <v/>
      </c>
    </row>
    <row r="168">
      <c r="J168" s="18" t="str">
        <f t="shared" si="4"/>
        <v/>
      </c>
    </row>
    <row r="169">
      <c r="J169" s="18" t="str">
        <f t="shared" si="4"/>
        <v/>
      </c>
    </row>
    <row r="170">
      <c r="J170" s="18" t="str">
        <f t="shared" si="4"/>
        <v/>
      </c>
    </row>
    <row r="171">
      <c r="J171" s="18" t="str">
        <f t="shared" si="4"/>
        <v/>
      </c>
    </row>
    <row r="172">
      <c r="J172" s="18" t="str">
        <f t="shared" si="4"/>
        <v/>
      </c>
    </row>
    <row r="173">
      <c r="J173" s="18" t="str">
        <f t="shared" si="4"/>
        <v/>
      </c>
    </row>
    <row r="174">
      <c r="J174" s="18" t="str">
        <f t="shared" si="4"/>
        <v/>
      </c>
    </row>
    <row r="175">
      <c r="J175" s="18" t="str">
        <f t="shared" si="4"/>
        <v/>
      </c>
    </row>
    <row r="176">
      <c r="J176" s="18" t="str">
        <f t="shared" si="4"/>
        <v/>
      </c>
    </row>
    <row r="177">
      <c r="J177" s="18" t="str">
        <f t="shared" si="4"/>
        <v/>
      </c>
    </row>
    <row r="178">
      <c r="J178" s="18" t="str">
        <f t="shared" si="4"/>
        <v/>
      </c>
    </row>
    <row r="179">
      <c r="J179" s="18" t="str">
        <f t="shared" si="4"/>
        <v/>
      </c>
    </row>
    <row r="180">
      <c r="J180" s="18" t="str">
        <f t="shared" si="4"/>
        <v/>
      </c>
    </row>
    <row r="181">
      <c r="J181" s="18" t="str">
        <f t="shared" si="4"/>
        <v/>
      </c>
    </row>
    <row r="182">
      <c r="J182" s="18" t="str">
        <f t="shared" si="4"/>
        <v/>
      </c>
    </row>
    <row r="183">
      <c r="J183" s="18" t="str">
        <f t="shared" si="4"/>
        <v/>
      </c>
    </row>
    <row r="184">
      <c r="J184" s="18" t="str">
        <f t="shared" si="4"/>
        <v/>
      </c>
    </row>
    <row r="185">
      <c r="J185" s="18" t="str">
        <f t="shared" si="4"/>
        <v/>
      </c>
    </row>
    <row r="186">
      <c r="J186" s="18" t="str">
        <f t="shared" si="4"/>
        <v/>
      </c>
    </row>
    <row r="187">
      <c r="J187" s="18" t="str">
        <f t="shared" si="4"/>
        <v/>
      </c>
    </row>
    <row r="188">
      <c r="J188" s="18" t="str">
        <f t="shared" si="4"/>
        <v/>
      </c>
    </row>
    <row r="189">
      <c r="J189" s="18" t="str">
        <f t="shared" si="4"/>
        <v/>
      </c>
    </row>
    <row r="190">
      <c r="J190" s="18" t="str">
        <f t="shared" si="4"/>
        <v/>
      </c>
    </row>
    <row r="191">
      <c r="J191" s="18" t="str">
        <f t="shared" si="4"/>
        <v/>
      </c>
    </row>
    <row r="192">
      <c r="J192" s="18" t="str">
        <f t="shared" si="4"/>
        <v/>
      </c>
    </row>
    <row r="193">
      <c r="J193" s="18" t="str">
        <f t="shared" si="4"/>
        <v/>
      </c>
    </row>
    <row r="194">
      <c r="J194" s="18" t="str">
        <f t="shared" si="4"/>
        <v/>
      </c>
    </row>
    <row r="195">
      <c r="J195" s="18" t="str">
        <f t="shared" si="4"/>
        <v/>
      </c>
    </row>
    <row r="196">
      <c r="J196" s="18" t="str">
        <f t="shared" si="4"/>
        <v/>
      </c>
    </row>
    <row r="197">
      <c r="J197" s="18" t="str">
        <f t="shared" si="4"/>
        <v/>
      </c>
    </row>
    <row r="198">
      <c r="J198" s="18" t="str">
        <f t="shared" si="4"/>
        <v/>
      </c>
    </row>
    <row r="199">
      <c r="J199" s="18" t="str">
        <f t="shared" si="4"/>
        <v/>
      </c>
    </row>
    <row r="200">
      <c r="J200" s="18" t="str">
        <f t="shared" si="4"/>
        <v/>
      </c>
    </row>
  </sheetData>
  <drawing r:id="rId1"/>
</worksheet>
</file>