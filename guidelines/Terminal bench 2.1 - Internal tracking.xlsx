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asks_tb2.1" sheetId="1" state="visible" r:id="rId1"/>
    <sheet xmlns:r="http://schemas.openxmlformats.org/officeDocument/2006/relationships" name="candidate_repos" sheetId="2" state="visible" r:id="rId2"/>
    <sheet xmlns:r="http://schemas.openxmlformats.org/officeDocument/2006/relationships" name="taxonomy" sheetId="3" state="hidden" r:id="rId3"/>
  </sheets>
  <definedNames>
    <definedName name="_xlnm._FilterDatabase" localSheetId="1" hidden="1">'candidate_repos'!$A$1:$N$41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Arial"/>
      <color rgb="FF000000"/>
      <sz val="10"/>
      <scheme val="minor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theme="1"/>
    </font>
    <font>
      <name val="Arial"/>
      <color theme="1"/>
      <sz val="10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0" fontId="1" fillId="2" borderId="0" applyAlignment="1" pivotButton="0" quotePrefix="0" xfId="0">
      <alignment vertical="bottom"/>
    </xf>
    <xf numFmtId="0" fontId="2" fillId="2" borderId="0" pivotButton="0" quotePrefix="0" xfId="0"/>
    <xf numFmtId="0" fontId="3" fillId="0" borderId="0" applyAlignment="1" pivotButton="0" quotePrefix="0" xfId="0">
      <alignment/>
    </xf>
    <xf numFmtId="0" fontId="3" fillId="0" borderId="0" pivotButton="0" quotePrefix="0" xfId="0"/>
    <xf numFmtId="0" fontId="2" fillId="3" borderId="0" pivotButton="0" quotePrefix="0" xfId="0"/>
    <xf numFmtId="0" fontId="4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1" fillId="3" borderId="0" applyAlignment="1" pivotButton="0" quotePrefix="0" xfId="0">
      <alignment vertical="bottom"/>
    </xf>
    <xf numFmtId="0" fontId="5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6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github.com/github/gh-aw" TargetMode="External" Id="rId1"/><Relationship Type="http://schemas.openxmlformats.org/officeDocument/2006/relationships/hyperlink" Target="https://github.com/NousResearch/hermes-agent" TargetMode="External" Id="rId2"/><Relationship Type="http://schemas.openxmlformats.org/officeDocument/2006/relationships/hyperlink" Target="https://github.com/kirodotdev/KiroCrew" TargetMode="External" Id="rId3"/><Relationship Type="http://schemas.openxmlformats.org/officeDocument/2006/relationships/hyperlink" Target="https://github.com/floci-io/floci" TargetMode="External" Id="rId4"/><Relationship Type="http://schemas.openxmlformats.org/officeDocument/2006/relationships/hyperlink" Target="https://github.com/can1357/oh-my-pi" TargetMode="External" Id="rId5"/><Relationship Type="http://schemas.openxmlformats.org/officeDocument/2006/relationships/hyperlink" Target="https://github.com/omnigent-ai/omnigent" TargetMode="External" Id="rId6"/><Relationship Type="http://schemas.openxmlformats.org/officeDocument/2006/relationships/hyperlink" Target="https://github.com/esengine/DeepSeek-Reasonix" TargetMode="External" Id="rId7"/><Relationship Type="http://schemas.openxmlformats.org/officeDocument/2006/relationships/hyperlink" Target="https://github.com/lerd-env/lerd" TargetMode="External" Id="rId8"/><Relationship Type="http://schemas.openxmlformats.org/officeDocument/2006/relationships/hyperlink" Target="https://github.com/docker/docker-agent" TargetMode="External" Id="rId9"/><Relationship Type="http://schemas.openxmlformats.org/officeDocument/2006/relationships/hyperlink" Target="https://github.com/stacklok/toolhive" TargetMode="External" Id="rId10"/><Relationship Type="http://schemas.openxmlformats.org/officeDocument/2006/relationships/hyperlink" Target="https://github.com/microsoft/apm" TargetMode="External" Id="rId11"/><Relationship Type="http://schemas.openxmlformats.org/officeDocument/2006/relationships/hyperlink" Target="https://github.com/Tracer-Cloud/opensre" TargetMode="External" Id="rId12"/><Relationship Type="http://schemas.openxmlformats.org/officeDocument/2006/relationships/hyperlink" Target="https://github.com/maziyarpanahi/openmed" TargetMode="External" Id="rId13"/><Relationship Type="http://schemas.openxmlformats.org/officeDocument/2006/relationships/hyperlink" Target="https://github.com/odysseus-dev/odysseus" TargetMode="External" Id="rId14"/><Relationship Type="http://schemas.openxmlformats.org/officeDocument/2006/relationships/hyperlink" Target="https://github.com/nearai/ironclaw" TargetMode="External" Id="rId15"/><Relationship Type="http://schemas.openxmlformats.org/officeDocument/2006/relationships/hyperlink" Target="https://github.com/NVIDIA/NemoClaw" TargetMode="External" Id="rId16"/><Relationship Type="http://schemas.openxmlformats.org/officeDocument/2006/relationships/hyperlink" Target="https://github.com/QwenLM/qwen-code" TargetMode="External" Id="rId17"/><Relationship Type="http://schemas.openxmlformats.org/officeDocument/2006/relationships/hyperlink" Target="https://github.com/apache/maka" TargetMode="External" Id="rId18"/><Relationship Type="http://schemas.openxmlformats.org/officeDocument/2006/relationships/hyperlink" Target="https://github.com/callstack/agent-device" TargetMode="External" Id="rId19"/><Relationship Type="http://schemas.openxmlformats.org/officeDocument/2006/relationships/hyperlink" Target="https://github.com/t8y2/dbx" TargetMode="External" Id="rId20"/><Relationship Type="http://schemas.openxmlformats.org/officeDocument/2006/relationships/hyperlink" Target="https://github.com/TableProApp/TablePro" TargetMode="External" Id="rId21"/><Relationship Type="http://schemas.openxmlformats.org/officeDocument/2006/relationships/hyperlink" Target="https://github.com/vllm-project/semantic-router" TargetMode="External" Id="rId22"/><Relationship Type="http://schemas.openxmlformats.org/officeDocument/2006/relationships/hyperlink" Target="https://github.com/Wei-Shaw/sub2api" TargetMode="External" Id="rId23"/><Relationship Type="http://schemas.openxmlformats.org/officeDocument/2006/relationships/hyperlink" Target="https://github.com/multica-ai/multica" TargetMode="External" Id="rId24"/><Relationship Type="http://schemas.openxmlformats.org/officeDocument/2006/relationships/hyperlink" Target="https://github.com/agentscope-ai/agentscope-java" TargetMode="External" Id="rId25"/><Relationship Type="http://schemas.openxmlformats.org/officeDocument/2006/relationships/hyperlink" Target="https://github.com/github/copilot-sdk" TargetMode="External" Id="rId26"/><Relationship Type="http://schemas.openxmlformats.org/officeDocument/2006/relationships/hyperlink" Target="https://github.com/iflytek/skillhub" TargetMode="External" Id="rId27"/><Relationship Type="http://schemas.openxmlformats.org/officeDocument/2006/relationships/hyperlink" Target="https://github.com/embabel/embabel-agent" TargetMode="External" Id="rId28"/><Relationship Type="http://schemas.openxmlformats.org/officeDocument/2006/relationships/hyperlink" Target="https://github.com/NuvioMedia/NuvioTV" TargetMode="External" Id="rId29"/><Relationship Type="http://schemas.openxmlformats.org/officeDocument/2006/relationships/hyperlink" Target="https://github.com/modelcontextprotocol/csharp-sdk" TargetMode="External" Id="rId30"/><Relationship Type="http://schemas.openxmlformats.org/officeDocument/2006/relationships/hyperlink" Target="https://github.com/openclaw/openclaw-windows-node" TargetMode="External" Id="rId31"/><Relationship Type="http://schemas.openxmlformats.org/officeDocument/2006/relationships/hyperlink" Target="https://github.com/we-promise/sure" TargetMode="External" Id="rId32"/><Relationship Type="http://schemas.openxmlformats.org/officeDocument/2006/relationships/hyperlink" Target="https://github.com/David-Crty/databasement" TargetMode="External" Id="rId33"/><Relationship Type="http://schemas.openxmlformats.org/officeDocument/2006/relationships/hyperlink" Target="https://github.com/lemonade-sdk/lemonade" TargetMode="External" Id="rId34"/><Relationship Type="http://schemas.openxmlformats.org/officeDocument/2006/relationships/hyperlink" Target="https://github.com/IBM/mcp-context-forge" TargetMode="External" Id="rId35"/><Relationship Type="http://schemas.openxmlformats.org/officeDocument/2006/relationships/hyperlink" Target="https://github.com/microsoft/agent-framework" TargetMode="External" Id="rId36"/><Relationship Type="http://schemas.openxmlformats.org/officeDocument/2006/relationships/hyperlink" Target="https://github.com/bytedance/deer-flow" TargetMode="External" Id="rId37"/><Relationship Type="http://schemas.openxmlformats.org/officeDocument/2006/relationships/hyperlink" Target="https://github.com/tinyhumansai/openhuman" TargetMode="External" Id="rId38"/><Relationship Type="http://schemas.openxmlformats.org/officeDocument/2006/relationships/hyperlink" Target="https://github.com/ai-dynamo/dynamo" TargetMode="External" Id="rId39"/><Relationship Type="http://schemas.openxmlformats.org/officeDocument/2006/relationships/hyperlink" Target="https://github.com/agentgateway/agentgateway" TargetMode="External" Id="rId40"/></Relationships>
</file>

<file path=xl/worksheets/sheet1.xml><?xml version="1.0" encoding="utf-8"?>
<worksheet xmlns="http://schemas.openxmlformats.org/spreadsheetml/2006/main">
  <sheetPr>
    <tabColor rgb="FF38761D"/>
    <outlinePr summaryBelow="0" summaryRight="0"/>
    <pageSetUpPr/>
  </sheetPr>
  <dimension ref="A1:AB22"/>
  <sheetViews>
    <sheetView workbookViewId="0">
      <selection activeCell="A1" sqref="A1"/>
    </sheetView>
  </sheetViews>
  <sheetFormatPr baseColWidth="8" defaultColWidth="12.63" defaultRowHeight="15.75" customHeight="1"/>
  <cols>
    <col width="25.88" customWidth="1" style="19" min="1" max="1"/>
  </cols>
  <sheetData>
    <row r="1">
      <c r="A1" s="1" t="inlineStr">
        <is>
          <t>repo name</t>
        </is>
      </c>
      <c r="B1" s="4" t="inlineStr">
        <is>
          <t>url</t>
        </is>
      </c>
      <c r="C1" s="4" t="inlineStr">
        <is>
          <t>team member</t>
        </is>
      </c>
      <c r="D1" s="3" t="inlineStr">
        <is>
          <t>PR BASE/ base commit (optional)</t>
        </is>
      </c>
      <c r="E1" s="3" t="inlineStr">
        <is>
          <t>Category</t>
        </is>
      </c>
      <c r="F1" s="3" t="inlineStr">
        <is>
          <t>Subcategory</t>
        </is>
      </c>
      <c r="G1" s="3" t="inlineStr">
        <is>
          <t>Status</t>
        </is>
      </c>
      <c r="H1" s="3" t="inlineStr">
        <is>
          <t>Model</t>
        </is>
      </c>
      <c r="I1" s="4" t="inlineStr">
        <is>
          <t>Pass @1</t>
        </is>
      </c>
      <c r="J1" s="4" t="inlineStr">
        <is>
          <t>Pass @3</t>
        </is>
      </c>
      <c r="K1" s="4" t="inlineStr">
        <is>
          <t>Pass @ 5</t>
        </is>
      </c>
      <c r="L1" s="1" t="inlineStr">
        <is>
          <t>Link .zip delivery</t>
        </is>
      </c>
      <c r="M1" s="4" t="inlineStr">
        <is>
          <t>Notes</t>
        </is>
      </c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</row>
    <row r="2">
      <c r="A2" s="6" t="n"/>
      <c r="B2" s="18" t="n"/>
      <c r="C2" s="9" t="n"/>
      <c r="D2" s="10" t="n"/>
      <c r="E2" s="12" t="n"/>
      <c r="F2" s="14" t="n"/>
      <c r="G2" s="12" t="n"/>
      <c r="H2" s="12" t="n"/>
      <c r="I2" s="15" t="n"/>
      <c r="J2" s="15" t="n"/>
      <c r="K2" s="15" t="n"/>
      <c r="L2" s="6" t="n"/>
    </row>
    <row r="3">
      <c r="A3" s="6" t="n"/>
      <c r="B3" s="18" t="n"/>
      <c r="C3" s="9" t="n"/>
      <c r="D3" s="10" t="n"/>
      <c r="E3" s="12" t="n"/>
      <c r="F3" s="14" t="n"/>
      <c r="G3" s="12" t="n"/>
      <c r="H3" s="12" t="n"/>
      <c r="I3" s="15" t="n"/>
      <c r="J3" s="15" t="n"/>
      <c r="K3" s="15" t="n"/>
      <c r="L3" s="6" t="n"/>
    </row>
    <row r="4">
      <c r="A4" s="6" t="n"/>
      <c r="B4" s="18" t="n"/>
      <c r="C4" s="9" t="n"/>
      <c r="D4" s="10" t="n"/>
      <c r="E4" s="12" t="n"/>
      <c r="F4" s="14" t="n"/>
      <c r="G4" s="12" t="n"/>
      <c r="H4" s="12" t="n"/>
      <c r="I4" s="15" t="n"/>
      <c r="J4" s="15" t="n"/>
      <c r="K4" s="15" t="n"/>
      <c r="L4" s="6" t="n"/>
    </row>
    <row r="5">
      <c r="A5" s="6" t="n"/>
      <c r="B5" s="18" t="n"/>
      <c r="C5" s="9" t="n"/>
      <c r="D5" s="10" t="n"/>
      <c r="E5" s="12" t="n"/>
      <c r="F5" s="14" t="n"/>
      <c r="G5" s="12" t="n"/>
      <c r="H5" s="12" t="n"/>
      <c r="I5" s="15" t="n"/>
      <c r="J5" s="15" t="n"/>
      <c r="K5" s="15" t="n"/>
      <c r="L5" s="6" t="n"/>
    </row>
    <row r="6">
      <c r="A6" s="6" t="n"/>
      <c r="B6" s="18" t="n"/>
      <c r="C6" s="9" t="n"/>
      <c r="D6" s="10" t="n"/>
      <c r="E6" s="12" t="n"/>
      <c r="F6" s="14" t="n"/>
      <c r="G6" s="12" t="n"/>
      <c r="H6" s="12" t="n"/>
      <c r="I6" s="15" t="n"/>
      <c r="J6" s="15" t="n"/>
      <c r="K6" s="15" t="n"/>
      <c r="L6" s="6" t="n"/>
    </row>
    <row r="7">
      <c r="A7" s="6" t="n"/>
      <c r="B7" s="18" t="n"/>
      <c r="C7" s="9" t="n"/>
      <c r="D7" s="10" t="n"/>
      <c r="E7" s="12" t="n"/>
      <c r="F7" s="14" t="n"/>
      <c r="G7" s="12" t="n"/>
      <c r="H7" s="12" t="n"/>
      <c r="I7" s="15" t="n"/>
      <c r="J7" s="15" t="n"/>
      <c r="K7" s="15" t="n"/>
      <c r="L7" s="6" t="n"/>
    </row>
    <row r="8">
      <c r="A8" s="6" t="n"/>
      <c r="B8" s="18" t="n"/>
      <c r="C8" s="9" t="n"/>
      <c r="D8" s="10" t="n"/>
      <c r="E8" s="12" t="n"/>
      <c r="F8" s="14" t="n"/>
      <c r="G8" s="12" t="n"/>
      <c r="H8" s="12" t="n"/>
      <c r="I8" s="15" t="n"/>
      <c r="J8" s="15" t="n"/>
      <c r="K8" s="15" t="n"/>
      <c r="L8" s="6" t="n"/>
    </row>
    <row r="9">
      <c r="A9" s="6" t="n"/>
      <c r="B9" s="18" t="n"/>
      <c r="C9" s="9" t="n"/>
      <c r="D9" s="10" t="n"/>
      <c r="E9" s="12" t="n"/>
      <c r="F9" s="14" t="n"/>
      <c r="G9" s="12" t="n"/>
      <c r="H9" s="12" t="n"/>
      <c r="I9" s="15" t="n"/>
      <c r="J9" s="15" t="n"/>
      <c r="K9" s="15" t="n"/>
      <c r="L9" s="6" t="n"/>
    </row>
    <row r="10">
      <c r="A10" s="6" t="n"/>
      <c r="B10" s="18" t="n"/>
      <c r="C10" s="9" t="n"/>
      <c r="D10" s="10" t="n"/>
      <c r="E10" s="12" t="n"/>
      <c r="F10" s="14" t="n"/>
      <c r="G10" s="12" t="n"/>
      <c r="H10" s="12" t="n"/>
      <c r="I10" s="15" t="n"/>
      <c r="J10" s="15" t="n"/>
      <c r="K10" s="15" t="n"/>
      <c r="L10" s="6" t="n"/>
    </row>
    <row r="11">
      <c r="A11" s="6" t="n"/>
      <c r="B11" s="18" t="n"/>
      <c r="C11" s="9" t="n"/>
      <c r="D11" s="10" t="n"/>
      <c r="E11" s="12" t="n"/>
      <c r="F11" s="14" t="n"/>
      <c r="G11" s="12" t="n"/>
      <c r="H11" s="12" t="n"/>
      <c r="I11" s="15" t="n"/>
      <c r="J11" s="15" t="n"/>
      <c r="K11" s="15" t="n"/>
      <c r="L11" s="6" t="n"/>
    </row>
    <row r="12">
      <c r="A12" s="6" t="n"/>
      <c r="B12" s="18" t="n"/>
      <c r="C12" s="9" t="n"/>
      <c r="D12" s="10" t="n"/>
      <c r="E12" s="12" t="n"/>
      <c r="F12" s="14" t="n"/>
      <c r="G12" s="12" t="n"/>
      <c r="H12" s="12" t="n"/>
      <c r="I12" s="15" t="n"/>
      <c r="J12" s="15" t="n"/>
      <c r="K12" s="15" t="n"/>
      <c r="L12" s="6" t="n"/>
    </row>
    <row r="13">
      <c r="A13" s="6" t="n"/>
      <c r="B13" s="18" t="n"/>
      <c r="C13" s="9" t="n"/>
      <c r="D13" s="10" t="n"/>
      <c r="E13" s="12" t="n"/>
      <c r="F13" s="14" t="n"/>
      <c r="G13" s="12" t="n"/>
      <c r="H13" s="12" t="n"/>
      <c r="I13" s="15" t="n"/>
      <c r="J13" s="15" t="n"/>
      <c r="K13" s="15" t="n"/>
      <c r="L13" s="6" t="n"/>
    </row>
    <row r="14">
      <c r="A14" s="6" t="n"/>
      <c r="B14" s="18" t="n"/>
      <c r="C14" s="9" t="n"/>
      <c r="D14" s="10" t="n"/>
      <c r="E14" s="12" t="n"/>
      <c r="F14" s="14" t="n"/>
      <c r="G14" s="12" t="n"/>
      <c r="H14" s="12" t="n"/>
      <c r="I14" s="15" t="n"/>
      <c r="J14" s="15" t="n"/>
      <c r="K14" s="15" t="n"/>
      <c r="L14" s="6" t="n"/>
    </row>
    <row r="15">
      <c r="A15" s="6" t="n"/>
      <c r="B15" s="18" t="n"/>
      <c r="C15" s="9" t="n"/>
      <c r="D15" s="10" t="n"/>
      <c r="E15" s="12" t="n"/>
      <c r="F15" s="14" t="n"/>
      <c r="G15" s="12" t="n"/>
      <c r="H15" s="12" t="n"/>
      <c r="I15" s="15" t="n"/>
      <c r="J15" s="15" t="n"/>
      <c r="K15" s="15" t="n"/>
      <c r="L15" s="6" t="n"/>
    </row>
    <row r="16">
      <c r="A16" s="6" t="n"/>
      <c r="B16" s="18" t="n"/>
      <c r="C16" s="9" t="n"/>
      <c r="D16" s="10" t="n"/>
      <c r="E16" s="12" t="n"/>
      <c r="F16" s="14" t="n"/>
      <c r="G16" s="12" t="n"/>
      <c r="H16" s="12" t="n"/>
      <c r="I16" s="15" t="n"/>
      <c r="J16" s="15" t="n"/>
      <c r="K16" s="15" t="n"/>
      <c r="L16" s="6" t="n"/>
    </row>
    <row r="17">
      <c r="A17" s="6" t="n"/>
      <c r="B17" s="18" t="n"/>
      <c r="C17" s="9" t="n"/>
      <c r="D17" s="10" t="n"/>
      <c r="E17" s="12" t="n"/>
      <c r="F17" s="14" t="n"/>
      <c r="G17" s="12" t="n"/>
      <c r="H17" s="12" t="n"/>
      <c r="I17" s="15" t="n"/>
      <c r="J17" s="15" t="n"/>
      <c r="K17" s="15" t="n"/>
      <c r="L17" s="6" t="n"/>
    </row>
    <row r="18">
      <c r="A18" s="6" t="n"/>
      <c r="B18" s="18" t="n"/>
      <c r="C18" s="9" t="n"/>
      <c r="D18" s="10" t="n"/>
      <c r="E18" s="12" t="n"/>
      <c r="F18" s="14" t="n"/>
      <c r="G18" s="12" t="n"/>
      <c r="H18" s="12" t="n"/>
      <c r="I18" s="15" t="n"/>
      <c r="J18" s="15" t="n"/>
      <c r="K18" s="15" t="n"/>
      <c r="L18" s="6" t="n"/>
    </row>
    <row r="19">
      <c r="A19" s="6" t="n"/>
      <c r="B19" s="18" t="n"/>
      <c r="C19" s="9" t="n"/>
      <c r="D19" s="10" t="n"/>
      <c r="E19" s="12" t="n"/>
      <c r="F19" s="14" t="n"/>
      <c r="G19" s="12" t="n"/>
      <c r="H19" s="12" t="n"/>
      <c r="I19" s="15" t="n"/>
      <c r="J19" s="15" t="n"/>
      <c r="K19" s="15" t="n"/>
      <c r="L19" s="6" t="n"/>
    </row>
    <row r="20">
      <c r="A20" s="6" t="n"/>
      <c r="B20" s="18" t="n"/>
      <c r="C20" s="9" t="n"/>
      <c r="D20" s="10" t="n"/>
      <c r="E20" s="12" t="n"/>
      <c r="F20" s="14" t="n"/>
      <c r="G20" s="12" t="n"/>
      <c r="H20" s="12" t="n"/>
      <c r="I20" s="15" t="n"/>
      <c r="J20" s="15" t="n"/>
      <c r="K20" s="15" t="n"/>
      <c r="L20" s="6" t="n"/>
    </row>
    <row r="21">
      <c r="A21" s="6" t="n"/>
      <c r="B21" s="18" t="n"/>
      <c r="C21" s="9" t="n"/>
      <c r="D21" s="10" t="n"/>
      <c r="E21" s="12" t="n"/>
      <c r="F21" s="14" t="n"/>
      <c r="G21" s="12" t="n"/>
      <c r="H21" s="12" t="n"/>
      <c r="I21" s="15" t="n"/>
      <c r="J21" s="15" t="n"/>
      <c r="K21" s="15" t="n"/>
      <c r="L21" s="6" t="n"/>
    </row>
    <row r="22">
      <c r="A22" s="6" t="n"/>
      <c r="B22" s="18" t="n"/>
      <c r="C22" s="9" t="n"/>
      <c r="D22" s="10" t="n"/>
      <c r="E22" s="12" t="n"/>
      <c r="F22" s="14" t="n"/>
      <c r="G22" s="12" t="n"/>
      <c r="H22" s="12" t="n"/>
      <c r="I22" s="15" t="n"/>
      <c r="J22" s="15" t="n"/>
      <c r="K22" s="15" t="n"/>
      <c r="L22" s="6" t="n"/>
    </row>
  </sheetData>
  <dataValidations count="9">
    <dataValidation sqref="C2:C22" showDropDown="0" showInputMessage="0" showErrorMessage="1" allowBlank="1" type="list">
      <formula1>"pipe,elias,Edwar,Santi M,Valentin,Matias,JC"</formula1>
    </dataValidation>
    <dataValidation sqref="H2:H22" showDropDown="0" showInputMessage="0" showErrorMessage="1" allowBlank="1" type="list">
      <formula1>"gpt-5.6,opus-5"</formula1>
    </dataValidation>
    <dataValidation sqref="F4:F22" showDropDown="0" showInputMessage="0" showErrorMessage="1" allowBlank="1" type="list">
      <formula1>taxonomy!$J3:$P3</formula1>
    </dataValidation>
    <dataValidation sqref="G2:G22" showDropDown="0" showInputMessage="0" showErrorMessage="1" allowBlank="1" type="list">
      <formula1>"WIP,Done,Skipped,HOLD,HOLD"</formula1>
    </dataValidation>
    <dataValidation sqref="J2:J22" showDropDown="0" showInputMessage="0" showErrorMessage="1" allowBlank="1" type="list">
      <formula1>"0/3,1/3,2/3,3/3"</formula1>
    </dataValidation>
    <dataValidation sqref="K2:K22" showDropDown="0" showInputMessage="0" showErrorMessage="1" allowBlank="1" type="list">
      <formula1>"0/5,1/5,2/5,3/5,4/5,5/5"</formula1>
    </dataValidation>
    <dataValidation sqref="E2:E22" showDropDown="0" showInputMessage="0" showErrorMessage="1" allowBlank="1" type="list">
      <formula1>"Software,Science,Operations,ML,Security,Hardware,Media"</formula1>
    </dataValidation>
    <dataValidation sqref="I2:I22" showDropDown="0" showInputMessage="0" showErrorMessage="1" allowBlank="1" type="list">
      <formula1>"0/1,1/1"</formula1>
    </dataValidation>
    <dataValidation sqref="F2:F3" showDropDown="0" showInputMessage="0" showErrorMessage="1" allowBlank="1" type="list">
      <formula1>taxonomy!$J2:$P2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630000000000001" customWidth="1" style="19" min="1" max="1"/>
    <col width="19.38" customWidth="1" style="19" min="2" max="2"/>
  </cols>
  <sheetData>
    <row r="1">
      <c r="A1" s="8" t="inlineStr">
        <is>
          <t>tier</t>
        </is>
      </c>
      <c r="B1" s="8" t="inlineStr">
        <is>
          <t>repo</t>
        </is>
      </c>
      <c r="C1" s="8" t="inlineStr">
        <is>
          <t>url</t>
        </is>
      </c>
      <c r="D1" s="8" t="inlineStr">
        <is>
          <t>created</t>
        </is>
      </c>
      <c r="E1" s="8" t="inlineStr">
        <is>
          <t>stars</t>
        </is>
      </c>
      <c r="F1" s="8" t="inlineStr">
        <is>
          <t>lang</t>
        </is>
      </c>
      <c r="G1" s="8" t="inlineStr">
        <is>
          <t>minable</t>
        </is>
      </c>
      <c r="H1" s="8" t="inlineStr">
        <is>
          <t>mrg90</t>
        </is>
      </c>
      <c r="I1" s="8" t="inlineStr">
        <is>
          <t>iss90</t>
        </is>
      </c>
      <c r="J1" s="8" t="inlineStr">
        <is>
          <t>tests</t>
        </is>
      </c>
      <c r="K1" s="8" t="inlineStr">
        <is>
          <t>src</t>
        </is>
      </c>
      <c r="L1" s="8" t="inlineStr">
        <is>
          <t>lic</t>
        </is>
      </c>
      <c r="M1" s="8" t="inlineStr">
        <is>
          <t>test run fw</t>
        </is>
      </c>
      <c r="N1" s="8" t="inlineStr">
        <is>
          <t>note</t>
        </is>
      </c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</row>
    <row r="2">
      <c r="A2" s="18" t="inlineStr">
        <is>
          <t>S</t>
        </is>
      </c>
      <c r="B2" s="18" t="inlineStr">
        <is>
          <t>github/gh-aw</t>
        </is>
      </c>
      <c r="C2" s="16" t="inlineStr">
        <is>
          <t>https://github.com/github/gh-aw</t>
        </is>
      </c>
      <c r="D2" s="17" t="n">
        <v>45881</v>
      </c>
      <c r="E2" s="18" t="n">
        <v>5103</v>
      </c>
      <c r="F2" s="18" t="inlineStr">
        <is>
          <t>Go</t>
        </is>
      </c>
      <c r="G2" s="18" t="n">
        <v>1071</v>
      </c>
      <c r="H2" s="18" t="n">
        <v>4645</v>
      </c>
      <c r="I2" s="18" t="n">
        <v>11622</v>
      </c>
      <c r="J2" s="18" t="n">
        <v>1769</v>
      </c>
      <c r="K2" s="18" t="n">
        <v>1242</v>
      </c>
      <c r="L2" s="18" t="inlineStr">
        <is>
          <t>MIT</t>
        </is>
      </c>
      <c r="M2" s="18" t="inlineStr">
        <is>
          <t>go test</t>
        </is>
      </c>
      <c r="N2" s="18" t="inlineStr">
        <is>
          <t>go test ./... -short; -json + gotestsum -&gt; junit</t>
        </is>
      </c>
    </row>
    <row r="3">
      <c r="A3" s="18" t="inlineStr">
        <is>
          <t>S</t>
        </is>
      </c>
      <c r="B3" s="18" t="inlineStr">
        <is>
          <t>NousResearch/hermes-agent</t>
        </is>
      </c>
      <c r="C3" s="16" t="inlineStr">
        <is>
          <t>https://github.com/NousResearch/hermes-agent</t>
        </is>
      </c>
      <c r="D3" s="17" t="n">
        <v>45860</v>
      </c>
      <c r="E3" s="18" t="n">
        <v>241251</v>
      </c>
      <c r="F3" s="18" t="inlineStr">
        <is>
          <t>Python</t>
        </is>
      </c>
      <c r="G3" s="18" t="n">
        <v>2198</v>
      </c>
      <c r="H3" s="18" t="n">
        <v>7150</v>
      </c>
      <c r="I3" s="18" t="n">
        <v>9265</v>
      </c>
      <c r="J3" s="18" t="n">
        <v>3823</v>
      </c>
      <c r="K3" s="18" t="n">
        <v>1725</v>
      </c>
      <c r="L3" s="18" t="inlineStr">
        <is>
          <t>MIT</t>
        </is>
      </c>
      <c r="M3" s="18" t="inlineStr">
        <is>
          <t>pytest</t>
        </is>
      </c>
      <c r="N3" s="18" t="inlineStr">
        <is>
          <t>pyproject testpaths; also a JS side -- scope to python lane</t>
        </is>
      </c>
    </row>
    <row r="4">
      <c r="A4" s="18" t="inlineStr">
        <is>
          <t>S</t>
        </is>
      </c>
      <c r="B4" s="18" t="inlineStr">
        <is>
          <t>kirodotdev/KiroCrew</t>
        </is>
      </c>
      <c r="C4" s="16" t="inlineStr">
        <is>
          <t>https://github.com/kirodotdev/KiroCrew</t>
        </is>
      </c>
      <c r="D4" s="17" t="n">
        <v>46219</v>
      </c>
      <c r="E4" s="18" t="n">
        <v>3632</v>
      </c>
      <c r="F4" s="18" t="inlineStr">
        <is>
          <t>Python</t>
        </is>
      </c>
      <c r="G4" s="18" t="n">
        <v>1383</v>
      </c>
      <c r="H4" s="18" t="n">
        <v>4611</v>
      </c>
      <c r="I4" s="18" t="n">
        <v>2014</v>
      </c>
      <c r="J4" s="18" t="n">
        <v>2138</v>
      </c>
      <c r="K4" s="18" t="n">
        <v>1207</v>
      </c>
      <c r="L4" s="18" t="inlineStr">
        <is>
          <t>Apache-2.0</t>
        </is>
      </c>
      <c r="M4" s="18" t="inlineStr">
        <is>
          <t>pytest</t>
        </is>
      </c>
      <c r="N4" s="18" t="inlineStr">
        <is>
          <t>Makefile venv pytest + conftest.py at root; npm/vite side exists</t>
        </is>
      </c>
    </row>
    <row r="5">
      <c r="A5" s="18" t="inlineStr">
        <is>
          <t>S</t>
        </is>
      </c>
      <c r="B5" s="18" t="inlineStr">
        <is>
          <t>floci-io/floci</t>
        </is>
      </c>
      <c r="C5" s="16" t="inlineStr">
        <is>
          <t>https://github.com/floci-io/floci</t>
        </is>
      </c>
      <c r="D5" s="17" t="n">
        <v>46071</v>
      </c>
      <c r="E5" s="18" t="n">
        <v>23145</v>
      </c>
      <c r="F5" s="18" t="inlineStr">
        <is>
          <t>Java</t>
        </is>
      </c>
      <c r="G5" s="18" t="n">
        <v>492</v>
      </c>
      <c r="H5" s="18" t="n">
        <v>1000</v>
      </c>
      <c r="I5" s="18" t="n">
        <v>564</v>
      </c>
      <c r="J5" s="18" t="n">
        <v>1362</v>
      </c>
      <c r="K5" s="18" t="n">
        <v>1714</v>
      </c>
      <c r="L5" s="18" t="inlineStr">
        <is>
          <t>MIT</t>
        </is>
      </c>
      <c r="M5" s="18" t="inlineStr">
        <is>
          <t>junit/surefire</t>
        </is>
      </c>
      <c r="N5" s="18" t="inlineStr">
        <is>
          <t>mvn -B test emits surefire XML natively -&gt; existing junit_xml parser</t>
        </is>
      </c>
    </row>
    <row r="6">
      <c r="A6" s="18" t="inlineStr">
        <is>
          <t>S</t>
        </is>
      </c>
      <c r="B6" s="18" t="inlineStr">
        <is>
          <t>can1357/oh-my-pi</t>
        </is>
      </c>
      <c r="C6" s="16" t="inlineStr">
        <is>
          <t>https://github.com/can1357/oh-my-pi</t>
        </is>
      </c>
      <c r="D6" s="17" t="n">
        <v>46022</v>
      </c>
      <c r="E6" s="18" t="n">
        <v>29428</v>
      </c>
      <c r="F6" s="18" t="inlineStr">
        <is>
          <t>TypeScript</t>
        </is>
      </c>
      <c r="G6" s="18" t="n">
        <v>1638</v>
      </c>
      <c r="H6" s="18" t="n">
        <v>2619</v>
      </c>
      <c r="I6" s="18" t="n">
        <v>2777</v>
      </c>
      <c r="J6" s="18" t="n">
        <v>2481</v>
      </c>
      <c r="K6" s="18" t="n">
        <v>2220</v>
      </c>
      <c r="L6" s="18" t="inlineStr">
        <is>
          <t>MIT</t>
        </is>
      </c>
      <c r="M6" s="18" t="inlineStr">
        <is>
          <t>bun</t>
        </is>
      </c>
      <c r="N6" s="18" t="inlineStr">
        <is>
          <t>test = bun scripts/ci-test-ts.ts local -- custom runner, needs a parser</t>
        </is>
      </c>
    </row>
    <row r="7">
      <c r="A7" s="18" t="inlineStr">
        <is>
          <t>S</t>
        </is>
      </c>
      <c r="B7" s="18" t="inlineStr">
        <is>
          <t>omnigent-ai/omnigent</t>
        </is>
      </c>
      <c r="C7" s="16" t="inlineStr">
        <is>
          <t>https://github.com/omnigent-ai/omnigent</t>
        </is>
      </c>
      <c r="D7" s="17" t="n">
        <v>46184</v>
      </c>
      <c r="E7" s="18" t="n">
        <v>9683</v>
      </c>
      <c r="F7" s="18" t="inlineStr">
        <is>
          <t>Python</t>
        </is>
      </c>
      <c r="G7" s="18" t="n">
        <v>1057</v>
      </c>
      <c r="H7" s="18" t="n">
        <v>3306</v>
      </c>
      <c r="I7" s="18" t="n">
        <v>896</v>
      </c>
      <c r="J7" s="18" t="n">
        <v>1708</v>
      </c>
      <c r="K7" s="18" t="n">
        <v>883</v>
      </c>
      <c r="L7" s="18" t="inlineStr">
        <is>
          <t>Apache-2.0</t>
        </is>
      </c>
      <c r="M7" s="18" t="inlineStr">
        <is>
          <t>pytest</t>
        </is>
      </c>
      <c r="N7" s="18" t="inlineStr">
        <is>
          <t>asyncio auto mode; uv.lock present</t>
        </is>
      </c>
    </row>
    <row r="8">
      <c r="A8" s="18" t="inlineStr">
        <is>
          <t>A</t>
        </is>
      </c>
      <c r="B8" s="18" t="inlineStr">
        <is>
          <t>esengine/DeepSeek-Reasonix</t>
        </is>
      </c>
      <c r="C8" s="16" t="inlineStr">
        <is>
          <t>https://github.com/esengine/DeepSeek-Reasonix</t>
        </is>
      </c>
      <c r="D8" s="17" t="n">
        <v>46133</v>
      </c>
      <c r="E8" s="17" t="n">
        <v>46133</v>
      </c>
      <c r="F8" s="18" t="inlineStr">
        <is>
          <t>Go</t>
        </is>
      </c>
      <c r="G8" s="18" t="n">
        <v>736</v>
      </c>
      <c r="H8" s="18" t="n">
        <v>1971</v>
      </c>
      <c r="I8" s="18" t="n">
        <v>2066</v>
      </c>
      <c r="J8" s="18" t="n">
        <v>1610</v>
      </c>
      <c r="K8" s="18" t="n">
        <v>1633</v>
      </c>
      <c r="L8" s="18" t="inlineStr">
        <is>
          <t>MIT</t>
        </is>
      </c>
      <c r="M8" s="18" t="inlineStr">
        <is>
          <t>go test</t>
        </is>
      </c>
      <c r="N8" s="18" t="inlineStr">
        <is>
          <t>make test = go test ./...; separate desktop/ module</t>
        </is>
      </c>
    </row>
    <row r="9">
      <c r="A9" s="18" t="inlineStr">
        <is>
          <t>A</t>
        </is>
      </c>
      <c r="B9" s="18" t="inlineStr">
        <is>
          <t>lerd-env/lerd</t>
        </is>
      </c>
      <c r="C9" s="16" t="inlineStr">
        <is>
          <t>https://github.com/lerd-env/lerd</t>
        </is>
      </c>
      <c r="D9" s="17" t="n">
        <v>46098</v>
      </c>
      <c r="E9" s="18" t="n">
        <v>1253</v>
      </c>
      <c r="F9" s="18" t="inlineStr">
        <is>
          <t>Go</t>
        </is>
      </c>
      <c r="G9" s="18" t="n">
        <v>537</v>
      </c>
      <c r="H9" s="18" t="n">
        <v>613</v>
      </c>
      <c r="I9" s="18" t="n">
        <v>560</v>
      </c>
      <c r="J9" s="18" t="n">
        <v>870</v>
      </c>
      <c r="K9" s="18" t="n">
        <v>655</v>
      </c>
      <c r="L9" s="18" t="inlineStr">
        <is>
          <t>MIT</t>
        </is>
      </c>
      <c r="M9" s="18" t="inlineStr">
        <is>
          <t>go test</t>
        </is>
      </c>
      <c r="N9" s="18" t="inlineStr">
        <is>
          <t>make test = go test ./... -- cleanest small Go lane</t>
        </is>
      </c>
    </row>
    <row r="10">
      <c r="A10" s="18" t="inlineStr">
        <is>
          <t>A</t>
        </is>
      </c>
      <c r="B10" s="18" t="inlineStr">
        <is>
          <t>docker/docker-agent</t>
        </is>
      </c>
      <c r="C10" s="16" t="inlineStr">
        <is>
          <t>https://github.com/docker/docker-agent</t>
        </is>
      </c>
      <c r="D10" s="17" t="n">
        <v>45901</v>
      </c>
      <c r="E10" s="18" t="n">
        <v>3306</v>
      </c>
      <c r="F10" s="18" t="inlineStr">
        <is>
          <t>Go</t>
        </is>
      </c>
      <c r="G10" s="18" t="n">
        <v>296</v>
      </c>
      <c r="H10" s="18" t="n">
        <v>839</v>
      </c>
      <c r="I10" s="18" t="n">
        <v>246</v>
      </c>
      <c r="J10" s="18" t="n">
        <v>932</v>
      </c>
      <c r="K10" s="18" t="n">
        <v>989</v>
      </c>
      <c r="L10" s="18" t="inlineStr">
        <is>
          <t>Apache-2.0</t>
        </is>
      </c>
      <c r="M10" s="18" t="inlineStr">
        <is>
          <t>go test</t>
        </is>
      </c>
      <c r="N10" s="18" t="inlineStr">
        <is>
          <t>Taskfile; some tests gated on live network env vars -- exclude</t>
        </is>
      </c>
    </row>
    <row r="11">
      <c r="A11" s="18" t="inlineStr">
        <is>
          <t>A</t>
        </is>
      </c>
      <c r="B11" s="18" t="inlineStr">
        <is>
          <t>stacklok/toolhive</t>
        </is>
      </c>
      <c r="C11" s="16" t="inlineStr">
        <is>
          <t>https://github.com/stacklok/toolhive</t>
        </is>
      </c>
      <c r="D11" s="17" t="n">
        <v>45728</v>
      </c>
      <c r="E11" s="18" t="n">
        <v>2070</v>
      </c>
      <c r="F11" s="18" t="inlineStr">
        <is>
          <t>Go</t>
        </is>
      </c>
      <c r="G11" s="18" t="n">
        <v>230</v>
      </c>
      <c r="H11" s="18" t="n">
        <v>561</v>
      </c>
      <c r="I11" s="18" t="n">
        <v>293</v>
      </c>
      <c r="J11" s="18" t="n">
        <v>1093</v>
      </c>
      <c r="K11" s="18" t="n">
        <v>1016</v>
      </c>
      <c r="L11" s="18" t="inlineStr">
        <is>
          <t>Apache-2.0</t>
        </is>
      </c>
      <c r="M11" s="18" t="inlineStr">
        <is>
          <t>go test</t>
        </is>
      </c>
      <c r="N11" s="18" t="inlineStr">
        <is>
          <t>go test -json already; excludes /test/e2e by design</t>
        </is>
      </c>
    </row>
    <row r="12">
      <c r="A12" s="18" t="inlineStr">
        <is>
          <t>A</t>
        </is>
      </c>
      <c r="B12" s="18" t="inlineStr">
        <is>
          <t>microsoft/apm</t>
        </is>
      </c>
      <c r="C12" s="16" t="inlineStr">
        <is>
          <t>https://github.com/microsoft/apm</t>
        </is>
      </c>
      <c r="D12" s="17" t="n">
        <v>45918</v>
      </c>
      <c r="E12" s="18" t="n">
        <v>3724</v>
      </c>
      <c r="F12" s="18" t="inlineStr">
        <is>
          <t>Python</t>
        </is>
      </c>
      <c r="G12" s="18" t="n">
        <v>515</v>
      </c>
      <c r="H12" s="18" t="n">
        <v>440</v>
      </c>
      <c r="I12" s="18" t="n">
        <v>463</v>
      </c>
      <c r="J12" s="18" t="n">
        <v>1268</v>
      </c>
      <c r="K12" s="18" t="n">
        <v>566</v>
      </c>
      <c r="L12" s="18" t="inlineStr">
        <is>
          <t>MIT</t>
        </is>
      </c>
      <c r="M12" s="18" t="inlineStr">
        <is>
          <t>pytest</t>
        </is>
      </c>
      <c r="N12" s="18" t="inlineStr">
        <is>
          <t>addopts -m 'not benchmark and not live' -- offline-clean out of the box</t>
        </is>
      </c>
    </row>
    <row r="13">
      <c r="A13" s="18" t="inlineStr">
        <is>
          <t>A</t>
        </is>
      </c>
      <c r="B13" s="18" t="inlineStr">
        <is>
          <t>Tracer-Cloud/opensre</t>
        </is>
      </c>
      <c r="C13" s="16" t="inlineStr">
        <is>
          <t>https://github.com/Tracer-Cloud/opensre</t>
        </is>
      </c>
      <c r="D13" s="17" t="n">
        <v>46035</v>
      </c>
      <c r="E13" s="18" t="n">
        <v>11000</v>
      </c>
      <c r="F13" s="18" t="inlineStr">
        <is>
          <t>Python</t>
        </is>
      </c>
      <c r="G13" s="18" t="n">
        <v>402</v>
      </c>
      <c r="H13" s="18" t="n">
        <v>1373</v>
      </c>
      <c r="I13" s="18" t="n">
        <v>1239</v>
      </c>
      <c r="J13" s="18" t="n">
        <v>1264</v>
      </c>
      <c r="K13" s="18" t="n">
        <v>1780</v>
      </c>
      <c r="L13" s="18" t="inlineStr">
        <is>
          <t>Apache-2.0</t>
        </is>
      </c>
      <c r="M13" s="18" t="inlineStr">
        <is>
          <t>pytest</t>
        </is>
      </c>
      <c r="N13" s="18" t="inlineStr">
        <is>
          <t>pytest.ini testpaths=tests gateway/tests, norecursedirs tests/e2e</t>
        </is>
      </c>
    </row>
    <row r="14">
      <c r="A14" s="18" t="inlineStr">
        <is>
          <t>A</t>
        </is>
      </c>
      <c r="B14" s="18" t="inlineStr">
        <is>
          <t>maziyarpanahi/openmed</t>
        </is>
      </c>
      <c r="C14" s="16" t="inlineStr">
        <is>
          <t>https://github.com/maziyarpanahi/openmed</t>
        </is>
      </c>
      <c r="D14" s="17" t="n">
        <v>45934</v>
      </c>
      <c r="E14" s="18" t="n">
        <v>5201</v>
      </c>
      <c r="F14" s="18" t="inlineStr">
        <is>
          <t>Python</t>
        </is>
      </c>
      <c r="G14" s="18" t="n">
        <v>702</v>
      </c>
      <c r="H14" s="18" t="n">
        <v>1127</v>
      </c>
      <c r="I14" s="18" t="n">
        <v>1107</v>
      </c>
      <c r="J14" s="18" t="n">
        <v>925</v>
      </c>
      <c r="K14" s="18" t="n">
        <v>847</v>
      </c>
      <c r="L14" s="18" t="inlineStr">
        <is>
          <t>Apache-2.0</t>
        </is>
      </c>
      <c r="M14" s="18" t="inlineStr">
        <is>
          <t>pytest</t>
        </is>
      </c>
      <c r="N14" s="18" t="inlineStr">
        <is>
          <t>uv run --frozen --extra dev pytest</t>
        </is>
      </c>
    </row>
    <row r="15" hidden="1" s="19">
      <c r="A15" s="18" t="inlineStr">
        <is>
          <t>A</t>
        </is>
      </c>
      <c r="B15" s="18" t="inlineStr">
        <is>
          <t>odysseus-dev/odysseus</t>
        </is>
      </c>
      <c r="C15" s="16" t="inlineStr">
        <is>
          <t>https://github.com/odysseus-dev/odysseus</t>
        </is>
      </c>
      <c r="D15" s="17" t="n">
        <v>46173</v>
      </c>
      <c r="E15" s="18" t="n">
        <v>86828</v>
      </c>
      <c r="F15" s="18" t="inlineStr">
        <is>
          <t>Python</t>
        </is>
      </c>
      <c r="G15" s="18" t="n">
        <v>909</v>
      </c>
      <c r="H15" s="18" t="n">
        <v>664</v>
      </c>
      <c r="I15" s="18" t="n">
        <v>589</v>
      </c>
      <c r="J15" s="18" t="n">
        <v>836</v>
      </c>
      <c r="K15" s="18" t="n">
        <v>315</v>
      </c>
      <c r="L15" s="18" t="inlineStr">
        <is>
          <t>AGPL-3.0</t>
        </is>
      </c>
      <c r="M15" s="18" t="inlineStr">
        <is>
          <t>pytest</t>
        </is>
      </c>
      <c r="N15" s="18" t="inlineStr">
        <is>
          <t>AGPL like worldmonitor; smaller src tree</t>
        </is>
      </c>
    </row>
    <row r="16">
      <c r="A16" s="18" t="inlineStr">
        <is>
          <t>A</t>
        </is>
      </c>
      <c r="B16" s="18" t="inlineStr">
        <is>
          <t>nearai/ironclaw</t>
        </is>
      </c>
      <c r="C16" s="16" t="inlineStr">
        <is>
          <t>https://github.com/nearai/ironclaw</t>
        </is>
      </c>
      <c r="D16" s="17" t="n">
        <v>46056</v>
      </c>
      <c r="E16" s="18" t="n">
        <v>12602</v>
      </c>
      <c r="F16" s="18" t="inlineStr">
        <is>
          <t>Rust</t>
        </is>
      </c>
      <c r="G16" s="18" t="n">
        <v>729</v>
      </c>
      <c r="H16" s="18" t="n">
        <v>1507</v>
      </c>
      <c r="I16" s="18" t="n">
        <v>794</v>
      </c>
      <c r="J16" s="18" t="n">
        <v>703</v>
      </c>
      <c r="K16" s="18" t="n">
        <v>1626</v>
      </c>
      <c r="L16" s="18" t="inlineStr">
        <is>
          <t>Apache-2.0</t>
        </is>
      </c>
      <c r="M16" s="18" t="inlineStr">
        <is>
          <t>cargo test</t>
        </is>
      </c>
      <c r="N16" s="18" t="inlineStr">
        <is>
          <t>cargo test --no-fail-fast; needs a libtest/nextest parser</t>
        </is>
      </c>
    </row>
    <row r="17">
      <c r="A17" s="18" t="inlineStr">
        <is>
          <t>A</t>
        </is>
      </c>
      <c r="B17" s="18" t="inlineStr">
        <is>
          <t>NVIDIA/NemoClaw</t>
        </is>
      </c>
      <c r="C17" s="16" t="inlineStr">
        <is>
          <t>https://github.com/NVIDIA/NemoClaw</t>
        </is>
      </c>
      <c r="D17" s="17" t="n">
        <v>46096</v>
      </c>
      <c r="E17" s="18" t="n">
        <v>22367</v>
      </c>
      <c r="F17" s="18" t="inlineStr">
        <is>
          <t>TypeScript</t>
        </is>
      </c>
      <c r="G17" s="18" t="n">
        <v>909</v>
      </c>
      <c r="H17" s="18" t="n">
        <v>3322</v>
      </c>
      <c r="I17" s="18" t="n">
        <v>1798</v>
      </c>
      <c r="J17" s="18" t="n">
        <v>2972</v>
      </c>
      <c r="K17" s="18" t="n">
        <v>1940</v>
      </c>
      <c r="L17" s="18" t="inlineStr">
        <is>
          <t>Apache-2.0</t>
        </is>
      </c>
      <c r="M17" s="18" t="inlineStr">
        <is>
          <t>vitest</t>
        </is>
      </c>
      <c r="N17" s="18" t="inlineStr">
        <is>
          <t>vitest run --project ...; test cmd builds CLI first</t>
        </is>
      </c>
    </row>
    <row r="18">
      <c r="A18" s="18" t="inlineStr">
        <is>
          <t>A</t>
        </is>
      </c>
      <c r="B18" s="18" t="inlineStr">
        <is>
          <t>QwenLM/qwen-code</t>
        </is>
      </c>
      <c r="C18" s="16" t="inlineStr">
        <is>
          <t>https://github.com/QwenLM/qwen-code</t>
        </is>
      </c>
      <c r="D18" s="17" t="n">
        <v>45834</v>
      </c>
      <c r="E18" s="18" t="n">
        <v>27646</v>
      </c>
      <c r="F18" s="18" t="inlineStr">
        <is>
          <t>TypeScript</t>
        </is>
      </c>
      <c r="G18" s="18" t="n">
        <v>910</v>
      </c>
      <c r="H18" s="18" t="n">
        <v>3308</v>
      </c>
      <c r="I18" s="18" t="n">
        <v>1768</v>
      </c>
      <c r="J18" s="18" t="n">
        <v>2298</v>
      </c>
      <c r="K18" s="18" t="n">
        <v>2911</v>
      </c>
      <c r="L18" s="18" t="inlineStr">
        <is>
          <t>Apache-2.0</t>
        </is>
      </c>
      <c r="M18" s="18" t="inlineStr">
        <is>
          <t>vitest</t>
        </is>
      </c>
      <c r="N18" s="18" t="inlineStr">
        <is>
          <t>npm run test --workspaces; monorepo, needs run_scope</t>
        </is>
      </c>
    </row>
    <row r="19">
      <c r="A19" s="18" t="inlineStr">
        <is>
          <t>A</t>
        </is>
      </c>
      <c r="B19" s="18" t="inlineStr">
        <is>
          <t>apache/maka</t>
        </is>
      </c>
      <c r="C19" s="16" t="inlineStr">
        <is>
          <t>https://github.com/apache/maka</t>
        </is>
      </c>
      <c r="D19" s="17" t="n">
        <v>46169</v>
      </c>
      <c r="E19" s="18" t="n">
        <v>4686</v>
      </c>
      <c r="F19" s="18" t="inlineStr">
        <is>
          <t>TypeScript</t>
        </is>
      </c>
      <c r="G19" s="18" t="n">
        <v>813</v>
      </c>
      <c r="H19" s="18" t="n">
        <v>3129</v>
      </c>
      <c r="I19" s="18" t="n">
        <v>902</v>
      </c>
      <c r="J19" s="18" t="n">
        <v>1155</v>
      </c>
      <c r="K19" s="18" t="n">
        <v>1774</v>
      </c>
      <c r="L19" s="18" t="inlineStr">
        <is>
          <t>Apache-2.0</t>
        </is>
      </c>
      <c r="M19" s="18" t="inlineStr">
        <is>
          <t>node/workspace</t>
        </is>
      </c>
      <c r="N19" s="18" t="inlineStr">
        <is>
          <t>custom parallel workspace runner script</t>
        </is>
      </c>
    </row>
    <row r="20">
      <c r="A20" s="18" t="inlineStr">
        <is>
          <t>A</t>
        </is>
      </c>
      <c r="B20" s="18" t="inlineStr">
        <is>
          <t>callstack/agent-device</t>
        </is>
      </c>
      <c r="C20" s="16" t="inlineStr">
        <is>
          <t>https://github.com/callstack/agent-device</t>
        </is>
      </c>
      <c r="D20" s="17" t="n">
        <v>46052</v>
      </c>
      <c r="E20" s="18" t="n">
        <v>4345</v>
      </c>
      <c r="F20" s="18" t="inlineStr">
        <is>
          <t>TypeScript</t>
        </is>
      </c>
      <c r="G20" s="18" t="n">
        <v>473</v>
      </c>
      <c r="H20" s="18" t="n">
        <v>1068</v>
      </c>
      <c r="I20" s="18" t="n">
        <v>429</v>
      </c>
      <c r="J20" s="18" t="n">
        <v>1627</v>
      </c>
      <c r="K20" s="18" t="n">
        <v>1789</v>
      </c>
      <c r="L20" s="18" t="inlineStr">
        <is>
          <t>MIT</t>
        </is>
      </c>
      <c r="M20" s="18" t="inlineStr">
        <is>
          <t>vitest</t>
        </is>
      </c>
      <c r="N20" s="18" t="inlineStr">
        <is>
          <t>also a swift snapshot lane -- scope to the vitest lane</t>
        </is>
      </c>
    </row>
    <row r="21">
      <c r="A21" s="18" t="inlineStr">
        <is>
          <t>A</t>
        </is>
      </c>
      <c r="B21" s="18" t="inlineStr">
        <is>
          <t>t8y2/dbx</t>
        </is>
      </c>
      <c r="C21" s="16" t="inlineStr">
        <is>
          <t>https://github.com/t8y2/dbx</t>
        </is>
      </c>
      <c r="D21" s="17" t="n">
        <v>46141</v>
      </c>
      <c r="E21" s="18" t="n">
        <v>18031</v>
      </c>
      <c r="F21" s="18" t="inlineStr">
        <is>
          <t>Rust</t>
        </is>
      </c>
      <c r="G21" s="18" t="n">
        <v>1334</v>
      </c>
      <c r="H21" s="18" t="n">
        <v>2284</v>
      </c>
      <c r="I21" s="18" t="n">
        <v>3865</v>
      </c>
      <c r="J21" s="18" t="n">
        <v>66</v>
      </c>
      <c r="K21" s="18" t="n">
        <v>432</v>
      </c>
      <c r="L21" s="18" t="inlineStr">
        <is>
          <t>Apache-2.0</t>
        </is>
      </c>
      <c r="M21" s="18" t="inlineStr">
        <is>
          <t>vitest</t>
        </is>
      </c>
      <c r="N21" s="18" t="inlineStr">
        <is>
          <t>labelled Rust but the test lane is pnpm/vitest workspaces</t>
        </is>
      </c>
    </row>
    <row r="22" hidden="1" s="19">
      <c r="A22" s="18" t="inlineStr">
        <is>
          <t>A</t>
        </is>
      </c>
      <c r="B22" s="18" t="inlineStr">
        <is>
          <t>TableProApp/TablePro</t>
        </is>
      </c>
      <c r="C22" s="16" t="inlineStr">
        <is>
          <t>https://github.com/TableProApp/TablePro</t>
        </is>
      </c>
      <c r="D22" s="17" t="n">
        <v>46008</v>
      </c>
      <c r="E22" s="18" t="n">
        <v>5780</v>
      </c>
      <c r="F22" s="18" t="inlineStr">
        <is>
          <t>Swift</t>
        </is>
      </c>
      <c r="G22" s="18" t="n">
        <v>392</v>
      </c>
      <c r="H22" s="18" t="n">
        <v>681</v>
      </c>
      <c r="I22" s="18" t="n">
        <v>289</v>
      </c>
      <c r="J22" s="18" t="n">
        <v>1529</v>
      </c>
      <c r="K22" s="18" t="n">
        <v>2936</v>
      </c>
      <c r="L22" s="18" t="inlineStr">
        <is>
          <t>AGPL-3.0</t>
        </is>
      </c>
      <c r="M22" s="18" t="inlineStr">
        <is>
          <t>swift test</t>
        </is>
      </c>
      <c r="N22" s="18" t="inlineStr">
        <is>
          <t>macOS toolchain in image; hardest environment on the list</t>
        </is>
      </c>
    </row>
    <row r="23">
      <c r="A23" s="18" t="inlineStr">
        <is>
          <t>B</t>
        </is>
      </c>
      <c r="B23" s="18" t="inlineStr">
        <is>
          <t>vllm-project/semantic-router</t>
        </is>
      </c>
      <c r="C23" s="16" t="inlineStr">
        <is>
          <t>https://github.com/vllm-project/semantic-router</t>
        </is>
      </c>
      <c r="D23" s="17" t="n">
        <v>45895</v>
      </c>
      <c r="E23" s="18" t="n">
        <v>5554</v>
      </c>
      <c r="F23" s="18" t="inlineStr">
        <is>
          <t>Go</t>
        </is>
      </c>
      <c r="G23" s="18" t="n">
        <v>271</v>
      </c>
      <c r="H23" s="18" t="n">
        <v>469</v>
      </c>
      <c r="I23" s="18" t="n">
        <v>498</v>
      </c>
      <c r="J23" s="18" t="n">
        <v>991</v>
      </c>
      <c r="K23" s="18" t="n">
        <v>1537</v>
      </c>
      <c r="L23" s="18" t="inlineStr">
        <is>
          <t>Apache-2.0</t>
        </is>
      </c>
      <c r="M23" s="18" t="inlineStr">
        <is>
          <t>unknown</t>
        </is>
      </c>
    </row>
    <row r="24" hidden="1" s="19">
      <c r="A24" s="18" t="inlineStr">
        <is>
          <t>B</t>
        </is>
      </c>
      <c r="B24" s="18" t="inlineStr">
        <is>
          <t>Wei-Shaw/sub2api</t>
        </is>
      </c>
      <c r="C24" s="16" t="inlineStr">
        <is>
          <t>https://github.com/Wei-Shaw/sub2api</t>
        </is>
      </c>
      <c r="D24" s="17" t="n">
        <v>46009</v>
      </c>
      <c r="E24" s="18" t="n">
        <v>40436</v>
      </c>
      <c r="F24" s="18" t="inlineStr">
        <is>
          <t>Go</t>
        </is>
      </c>
      <c r="G24" s="18" t="n">
        <v>374</v>
      </c>
      <c r="H24" s="18" t="n">
        <v>910</v>
      </c>
      <c r="I24" s="18" t="n">
        <v>690</v>
      </c>
      <c r="J24" s="18" t="n">
        <v>1239</v>
      </c>
      <c r="K24" s="18" t="n">
        <v>1297</v>
      </c>
      <c r="L24" s="18" t="inlineStr">
        <is>
          <t>LGPL-3.0</t>
        </is>
      </c>
      <c r="M24" s="18" t="inlineStr">
        <is>
          <t>unknown</t>
        </is>
      </c>
    </row>
    <row r="25" hidden="1" s="19">
      <c r="A25" s="18" t="inlineStr">
        <is>
          <t>B</t>
        </is>
      </c>
      <c r="B25" s="18" t="inlineStr">
        <is>
          <t>multica-ai/multica</t>
        </is>
      </c>
      <c r="C25" s="16" t="inlineStr">
        <is>
          <t>https://github.com/multica-ai/multica</t>
        </is>
      </c>
      <c r="D25" s="17" t="n">
        <v>46035</v>
      </c>
      <c r="E25" s="18" t="n">
        <v>48847</v>
      </c>
      <c r="F25" s="18" t="inlineStr">
        <is>
          <t>Go</t>
        </is>
      </c>
      <c r="G25" s="18" t="n">
        <v>388</v>
      </c>
      <c r="H25" s="18" t="n">
        <v>1689</v>
      </c>
      <c r="I25" s="18" t="n">
        <v>971</v>
      </c>
      <c r="J25" s="18" t="n">
        <v>919</v>
      </c>
      <c r="K25" s="18" t="n">
        <v>701</v>
      </c>
      <c r="L25" s="18" t="inlineStr">
        <is>
          <t>NOASSERTION</t>
        </is>
      </c>
      <c r="M25" s="18" t="inlineStr">
        <is>
          <t>unknown</t>
        </is>
      </c>
    </row>
    <row r="26">
      <c r="A26" s="18" t="inlineStr">
        <is>
          <t>B</t>
        </is>
      </c>
      <c r="B26" s="18" t="inlineStr">
        <is>
          <t>agentscope-ai/agentscope-java</t>
        </is>
      </c>
      <c r="C26" s="16" t="inlineStr">
        <is>
          <t>https://github.com/agentscope-ai/agentscope-java</t>
        </is>
      </c>
      <c r="D26" s="17" t="n">
        <v>45923</v>
      </c>
      <c r="E26" s="18" t="n">
        <v>5438</v>
      </c>
      <c r="F26" s="18" t="inlineStr">
        <is>
          <t>Java</t>
        </is>
      </c>
      <c r="G26" s="18" t="n">
        <v>124</v>
      </c>
      <c r="H26" s="18" t="n">
        <v>267</v>
      </c>
      <c r="I26" s="18" t="n">
        <v>264</v>
      </c>
      <c r="J26" s="18" t="n">
        <v>785</v>
      </c>
      <c r="K26" s="18" t="n">
        <v>1696</v>
      </c>
      <c r="L26" s="18" t="inlineStr">
        <is>
          <t>?</t>
        </is>
      </c>
      <c r="M26" s="18" t="inlineStr">
        <is>
          <t>unknown</t>
        </is>
      </c>
    </row>
    <row r="27">
      <c r="A27" s="18" t="inlineStr">
        <is>
          <t>B</t>
        </is>
      </c>
      <c r="B27" s="18" t="inlineStr">
        <is>
          <t>github/copilot-sdk</t>
        </is>
      </c>
      <c r="C27" s="16" t="inlineStr">
        <is>
          <t>https://github.com/github/copilot-sdk</t>
        </is>
      </c>
      <c r="D27" s="17" t="n">
        <v>46036</v>
      </c>
      <c r="E27" s="18" t="n">
        <v>10457</v>
      </c>
      <c r="F27" s="18" t="inlineStr">
        <is>
          <t>Java</t>
        </is>
      </c>
      <c r="G27" s="18" t="n">
        <v>96</v>
      </c>
      <c r="H27" s="18" t="n">
        <v>373</v>
      </c>
      <c r="I27" s="18" t="n">
        <v>243</v>
      </c>
      <c r="J27" s="18" t="n">
        <v>153</v>
      </c>
      <c r="K27" s="18" t="n">
        <v>1687</v>
      </c>
      <c r="L27" s="18" t="inlineStr">
        <is>
          <t>MIT</t>
        </is>
      </c>
      <c r="M27" s="18" t="inlineStr">
        <is>
          <t>unknown</t>
        </is>
      </c>
    </row>
    <row r="28">
      <c r="A28" s="18" t="inlineStr">
        <is>
          <t>B</t>
        </is>
      </c>
      <c r="B28" s="18" t="inlineStr">
        <is>
          <t>iflytek/skillhub</t>
        </is>
      </c>
      <c r="C28" s="16" t="inlineStr">
        <is>
          <t>https://github.com/iflytek/skillhub</t>
        </is>
      </c>
      <c r="D28" s="17" t="n">
        <v>46092</v>
      </c>
      <c r="E28" s="18" t="n">
        <v>4973</v>
      </c>
      <c r="F28" s="18" t="inlineStr">
        <is>
          <t>Java</t>
        </is>
      </c>
      <c r="G28" s="18" t="n">
        <v>67</v>
      </c>
      <c r="H28" s="18" t="n">
        <v>151</v>
      </c>
      <c r="I28" s="18" t="n">
        <v>101</v>
      </c>
      <c r="J28" s="18" t="n">
        <v>234</v>
      </c>
      <c r="K28" s="18" t="n">
        <v>679</v>
      </c>
      <c r="L28" s="18" t="inlineStr">
        <is>
          <t>Apache-2.0</t>
        </is>
      </c>
      <c r="M28" s="18" t="inlineStr">
        <is>
          <t>unknown</t>
        </is>
      </c>
    </row>
    <row r="29">
      <c r="A29" s="18" t="inlineStr">
        <is>
          <t>B</t>
        </is>
      </c>
      <c r="B29" s="18" t="inlineStr">
        <is>
          <t>embabel/embabel-agent</t>
        </is>
      </c>
      <c r="C29" s="16" t="inlineStr">
        <is>
          <t>https://github.com/embabel/embabel-agent</t>
        </is>
      </c>
      <c r="D29" s="17" t="n">
        <v>45757</v>
      </c>
      <c r="E29" s="18" t="n">
        <v>4417</v>
      </c>
      <c r="F29" s="18" t="inlineStr">
        <is>
          <t>Kotlin</t>
        </is>
      </c>
      <c r="G29" s="18" t="n">
        <v>79</v>
      </c>
      <c r="H29" s="18" t="n">
        <v>145</v>
      </c>
      <c r="I29" s="18" t="n">
        <v>102</v>
      </c>
      <c r="J29" s="18" t="n">
        <v>708</v>
      </c>
      <c r="K29" s="18" t="n">
        <v>790</v>
      </c>
      <c r="L29" s="18" t="inlineStr">
        <is>
          <t>Apache-2.0</t>
        </is>
      </c>
      <c r="M29" s="18" t="inlineStr">
        <is>
          <t>unknown</t>
        </is>
      </c>
    </row>
    <row r="30" hidden="1" s="19">
      <c r="A30" s="18" t="inlineStr">
        <is>
          <t>B</t>
        </is>
      </c>
      <c r="B30" s="18" t="inlineStr">
        <is>
          <t>NuvioMedia/NuvioTV</t>
        </is>
      </c>
      <c r="C30" s="16" t="inlineStr">
        <is>
          <t>https://github.com/NuvioMedia/NuvioTV</t>
        </is>
      </c>
      <c r="D30" s="17" t="n">
        <v>46054</v>
      </c>
      <c r="E30" s="18" t="n">
        <v>2531</v>
      </c>
      <c r="F30" s="18" t="inlineStr">
        <is>
          <t>Kotlin</t>
        </is>
      </c>
      <c r="G30" s="18" t="n">
        <v>101</v>
      </c>
      <c r="H30" s="18" t="n">
        <v>424</v>
      </c>
      <c r="I30" s="18" t="n">
        <v>596</v>
      </c>
      <c r="J30" s="18" t="n">
        <v>198</v>
      </c>
      <c r="K30" s="18" t="n">
        <v>739</v>
      </c>
      <c r="L30" s="18" t="inlineStr">
        <is>
          <t>GPL-3.0</t>
        </is>
      </c>
      <c r="M30" s="18" t="inlineStr">
        <is>
          <t>unknown</t>
        </is>
      </c>
    </row>
    <row r="31" hidden="1" s="19">
      <c r="A31" s="18" t="inlineStr">
        <is>
          <t>B</t>
        </is>
      </c>
      <c r="B31" s="18" t="inlineStr">
        <is>
          <t>modelcontextprotocol/csharp-sdk</t>
        </is>
      </c>
      <c r="C31" s="16" t="inlineStr">
        <is>
          <t>https://github.com/modelcontextprotocol/csharp-sdk</t>
        </is>
      </c>
      <c r="D31" s="17" t="n">
        <v>45726</v>
      </c>
      <c r="E31" s="18" t="n">
        <v>4519</v>
      </c>
      <c r="F31" s="18" t="inlineStr">
        <is>
          <t>C#</t>
        </is>
      </c>
      <c r="G31" s="18" t="n">
        <v>41</v>
      </c>
      <c r="H31" s="18" t="n">
        <v>105</v>
      </c>
      <c r="I31" s="18" t="n">
        <v>90</v>
      </c>
      <c r="J31" s="18" t="n">
        <v>280</v>
      </c>
      <c r="K31" s="18" t="n">
        <v>413</v>
      </c>
      <c r="L31" s="18" t="inlineStr">
        <is>
          <t>NOASSERTION</t>
        </is>
      </c>
      <c r="M31" s="18" t="inlineStr">
        <is>
          <t>unknown</t>
        </is>
      </c>
    </row>
    <row r="32">
      <c r="A32" s="18" t="inlineStr">
        <is>
          <t>B</t>
        </is>
      </c>
      <c r="B32" s="18" t="inlineStr">
        <is>
          <t>openclaw/openclaw-windows-node</t>
        </is>
      </c>
      <c r="C32" s="16" t="inlineStr">
        <is>
          <t>https://github.com/openclaw/openclaw-windows-node</t>
        </is>
      </c>
      <c r="D32" s="17" t="n">
        <v>46051</v>
      </c>
      <c r="E32" s="18" t="n">
        <v>2087</v>
      </c>
      <c r="F32" s="18" t="inlineStr">
        <is>
          <t>C#</t>
        </is>
      </c>
      <c r="G32" s="18" t="n">
        <v>122</v>
      </c>
      <c r="H32" s="18" t="n">
        <v>352</v>
      </c>
      <c r="I32" s="18" t="n">
        <v>168</v>
      </c>
      <c r="J32" s="18" t="n">
        <v>447</v>
      </c>
      <c r="K32" s="18" t="n">
        <v>628</v>
      </c>
      <c r="L32" s="18" t="inlineStr">
        <is>
          <t>MIT</t>
        </is>
      </c>
      <c r="M32" s="18" t="inlineStr">
        <is>
          <t>unknown</t>
        </is>
      </c>
    </row>
    <row r="33" hidden="1" s="19">
      <c r="A33" s="18" t="inlineStr">
        <is>
          <t>B</t>
        </is>
      </c>
      <c r="B33" s="18" t="inlineStr">
        <is>
          <t>we-promise/sure</t>
        </is>
      </c>
      <c r="C33" s="16" t="inlineStr">
        <is>
          <t>https://github.com/we-promise/sure</t>
        </is>
      </c>
      <c r="D33" s="17" t="n">
        <v>45861</v>
      </c>
      <c r="E33" s="18" t="n">
        <v>9706</v>
      </c>
      <c r="F33" s="18" t="inlineStr">
        <is>
          <t>Ruby</t>
        </is>
      </c>
      <c r="G33" s="18" t="n">
        <v>126</v>
      </c>
      <c r="H33" s="18" t="n">
        <v>524</v>
      </c>
      <c r="I33" s="18" t="n">
        <v>186</v>
      </c>
      <c r="J33" s="18" t="n">
        <v>831</v>
      </c>
      <c r="K33" s="18" t="n">
        <v>1585</v>
      </c>
      <c r="L33" s="18" t="inlineStr">
        <is>
          <t>AGPL-3.0</t>
        </is>
      </c>
      <c r="M33" s="18" t="inlineStr">
        <is>
          <t>unknown</t>
        </is>
      </c>
    </row>
    <row r="34">
      <c r="A34" s="18" t="inlineStr">
        <is>
          <t>B</t>
        </is>
      </c>
      <c r="B34" s="18" t="inlineStr">
        <is>
          <t>David-Crty/databasement</t>
        </is>
      </c>
      <c r="C34" s="16" t="inlineStr">
        <is>
          <t>https://github.com/David-Crty/databasement</t>
        </is>
      </c>
      <c r="D34" s="17" t="n">
        <v>45975</v>
      </c>
      <c r="E34" s="18" t="n">
        <v>2318</v>
      </c>
      <c r="F34" s="18" t="inlineStr">
        <is>
          <t>PHP</t>
        </is>
      </c>
      <c r="G34" s="18" t="n">
        <v>43</v>
      </c>
      <c r="H34" s="18" t="n">
        <v>105</v>
      </c>
      <c r="I34" s="18" t="n">
        <v>51</v>
      </c>
      <c r="J34" s="18" t="n">
        <v>152</v>
      </c>
      <c r="K34" s="18" t="n">
        <v>494</v>
      </c>
      <c r="L34" s="18" t="inlineStr">
        <is>
          <t>MIT</t>
        </is>
      </c>
      <c r="M34" s="18" t="inlineStr">
        <is>
          <t>unknown</t>
        </is>
      </c>
    </row>
    <row r="35">
      <c r="A35" s="18" t="inlineStr">
        <is>
          <t>B</t>
        </is>
      </c>
      <c r="B35" s="18" t="inlineStr">
        <is>
          <t>lemonade-sdk/lemonade</t>
        </is>
      </c>
      <c r="C35" s="16" t="inlineStr">
        <is>
          <t>https://github.com/lemonade-sdk/lemonade</t>
        </is>
      </c>
      <c r="D35" s="17" t="n">
        <v>45792</v>
      </c>
      <c r="E35" s="18" t="n">
        <v>5613</v>
      </c>
      <c r="F35" s="18" t="inlineStr">
        <is>
          <t>C++</t>
        </is>
      </c>
      <c r="G35" s="18" t="n">
        <v>155</v>
      </c>
      <c r="H35" s="18" t="n">
        <v>606</v>
      </c>
      <c r="I35" s="18" t="n">
        <v>368</v>
      </c>
      <c r="J35" s="18" t="n">
        <v>86</v>
      </c>
      <c r="K35" s="18" t="n">
        <v>264</v>
      </c>
      <c r="L35" s="18" t="inlineStr">
        <is>
          <t>Apache-2.0</t>
        </is>
      </c>
      <c r="M35" s="18" t="inlineStr">
        <is>
          <t>unknown</t>
        </is>
      </c>
    </row>
    <row r="36">
      <c r="A36" s="18" t="inlineStr">
        <is>
          <t>B</t>
        </is>
      </c>
      <c r="B36" s="18" t="inlineStr">
        <is>
          <t>IBM/mcp-context-forge</t>
        </is>
      </c>
      <c r="C36" s="16" t="inlineStr">
        <is>
          <t>https://github.com/IBM/mcp-context-forge</t>
        </is>
      </c>
      <c r="D36" s="17" t="n">
        <v>45785</v>
      </c>
      <c r="E36" s="18" t="n">
        <v>4422</v>
      </c>
      <c r="F36" s="18" t="inlineStr">
        <is>
          <t>Python</t>
        </is>
      </c>
      <c r="G36" s="18" t="n">
        <v>248</v>
      </c>
      <c r="H36" s="18" t="n">
        <v>410</v>
      </c>
      <c r="I36" s="18" t="n">
        <v>1032</v>
      </c>
      <c r="J36" s="18" t="n">
        <v>955</v>
      </c>
      <c r="K36" s="18" t="n">
        <v>591</v>
      </c>
      <c r="L36" s="18" t="inlineStr">
        <is>
          <t>Apache-2.0</t>
        </is>
      </c>
      <c r="M36" s="18" t="inlineStr">
        <is>
          <t>vitest</t>
        </is>
      </c>
    </row>
    <row r="37">
      <c r="A37" s="18" t="inlineStr">
        <is>
          <t>B</t>
        </is>
      </c>
      <c r="B37" s="18" t="inlineStr">
        <is>
          <t>microsoft/agent-framework</t>
        </is>
      </c>
      <c r="C37" s="16" t="inlineStr">
        <is>
          <t>https://github.com/microsoft/agent-framework</t>
        </is>
      </c>
      <c r="D37" s="17" t="n">
        <v>45775</v>
      </c>
      <c r="E37" s="18" t="n">
        <v>13328</v>
      </c>
      <c r="F37" s="18" t="inlineStr">
        <is>
          <t>Python</t>
        </is>
      </c>
      <c r="G37" s="18" t="n">
        <v>272</v>
      </c>
      <c r="H37" s="18" t="n">
        <v>708</v>
      </c>
      <c r="I37" s="18" t="n">
        <v>641</v>
      </c>
      <c r="J37" s="18" t="n">
        <v>299</v>
      </c>
      <c r="K37" s="18" t="n">
        <v>888</v>
      </c>
      <c r="L37" s="18" t="inlineStr">
        <is>
          <t>MIT</t>
        </is>
      </c>
      <c r="M37" s="18" t="inlineStr">
        <is>
          <t>unknown</t>
        </is>
      </c>
    </row>
    <row r="38">
      <c r="A38" s="18" t="inlineStr">
        <is>
          <t>B</t>
        </is>
      </c>
      <c r="B38" s="18" t="inlineStr">
        <is>
          <t>bytedance/deer-flow</t>
        </is>
      </c>
      <c r="C38" s="16" t="inlineStr">
        <is>
          <t>https://github.com/bytedance/deer-flow</t>
        </is>
      </c>
      <c r="D38" s="17" t="n">
        <v>45784</v>
      </c>
      <c r="E38" s="18" t="n">
        <v>81353</v>
      </c>
      <c r="F38" s="18" t="inlineStr">
        <is>
          <t>Python</t>
        </is>
      </c>
      <c r="G38" s="18" t="n">
        <v>394</v>
      </c>
      <c r="H38" s="18" t="n">
        <v>912</v>
      </c>
      <c r="I38" s="18" t="n">
        <v>542</v>
      </c>
      <c r="J38" s="18" t="n">
        <v>658</v>
      </c>
      <c r="K38" s="18" t="n">
        <v>723</v>
      </c>
      <c r="L38" s="18" t="inlineStr">
        <is>
          <t>MIT</t>
        </is>
      </c>
      <c r="M38" s="18" t="inlineStr">
        <is>
          <t>unknown</t>
        </is>
      </c>
    </row>
    <row r="39" hidden="1" s="19">
      <c r="A39" s="18" t="inlineStr">
        <is>
          <t>B</t>
        </is>
      </c>
      <c r="B39" s="18" t="inlineStr">
        <is>
          <t>tinyhumansai/openhuman</t>
        </is>
      </c>
      <c r="C39" s="16" t="inlineStr">
        <is>
          <t>https://github.com/tinyhumansai/openhuman</t>
        </is>
      </c>
      <c r="D39" s="17" t="n">
        <v>46071</v>
      </c>
      <c r="E39" s="18" t="n">
        <v>39406</v>
      </c>
      <c r="F39" s="18" t="inlineStr">
        <is>
          <t>Rust</t>
        </is>
      </c>
      <c r="G39" s="18" t="n">
        <v>830</v>
      </c>
      <c r="H39" s="18" t="n">
        <v>1341</v>
      </c>
      <c r="I39" s="18" t="n">
        <v>779</v>
      </c>
      <c r="J39" s="18" t="n">
        <v>149</v>
      </c>
      <c r="K39" s="18" t="n">
        <v>3032</v>
      </c>
      <c r="L39" s="18" t="inlineStr">
        <is>
          <t>GPL-3.0</t>
        </is>
      </c>
      <c r="M39" s="18" t="inlineStr">
        <is>
          <t>unknown</t>
        </is>
      </c>
    </row>
    <row r="40" hidden="1" s="19">
      <c r="A40" s="18" t="inlineStr">
        <is>
          <t>B</t>
        </is>
      </c>
      <c r="B40" s="18" t="inlineStr">
        <is>
          <t>ai-dynamo/dynamo</t>
        </is>
      </c>
      <c r="C40" s="16" t="inlineStr">
        <is>
          <t>https://github.com/ai-dynamo/dynamo</t>
        </is>
      </c>
      <c r="D40" s="17" t="n">
        <v>45719</v>
      </c>
      <c r="E40" s="18" t="n">
        <v>7965</v>
      </c>
      <c r="F40" s="18" t="inlineStr">
        <is>
          <t>Rust</t>
        </is>
      </c>
      <c r="G40" s="18" t="n">
        <v>138</v>
      </c>
      <c r="H40" s="18" t="n">
        <v>1914</v>
      </c>
      <c r="I40" s="18" t="n">
        <v>341</v>
      </c>
      <c r="J40" s="18" t="n">
        <v>86</v>
      </c>
      <c r="K40" s="18" t="n">
        <v>1101</v>
      </c>
      <c r="L40" s="18" t="inlineStr">
        <is>
          <t>NOASSERTION</t>
        </is>
      </c>
      <c r="M40" s="18" t="inlineStr">
        <is>
          <t>unknown</t>
        </is>
      </c>
    </row>
    <row r="41">
      <c r="A41" s="18" t="inlineStr">
        <is>
          <t>B</t>
        </is>
      </c>
      <c r="B41" s="18" t="inlineStr">
        <is>
          <t>agentgateway/agentgateway</t>
        </is>
      </c>
      <c r="C41" s="16" t="inlineStr">
        <is>
          <t>https://github.com/agentgateway/agentgateway</t>
        </is>
      </c>
      <c r="D41" s="17" t="n">
        <v>45734</v>
      </c>
      <c r="E41" s="18" t="n">
        <v>4717</v>
      </c>
      <c r="F41" s="18" t="inlineStr">
        <is>
          <t>Rust</t>
        </is>
      </c>
      <c r="G41" s="18" t="n">
        <v>125</v>
      </c>
      <c r="H41" s="18" t="n">
        <v>677</v>
      </c>
      <c r="I41" s="18" t="n">
        <v>364</v>
      </c>
      <c r="J41" s="18" t="n">
        <v>35</v>
      </c>
      <c r="K41" s="18" t="n">
        <v>395</v>
      </c>
      <c r="L41" s="18" t="inlineStr">
        <is>
          <t>Apache-2.0</t>
        </is>
      </c>
      <c r="M41" s="18" t="inlineStr">
        <is>
          <t>unknown</t>
        </is>
      </c>
    </row>
  </sheetData>
  <autoFilter ref="$A$1:$N$41">
    <filterColumn colId="11" hiddenButton="0" showButton="1">
      <filters>
        <filter val="Apache-2.0"/>
        <filter val="MIT"/>
        <filter val="?"/>
      </filters>
    </filterColumn>
  </autoFilter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8" t="inlineStr">
        <is>
          <t>Software</t>
        </is>
      </c>
      <c r="B1" s="18" t="inlineStr">
        <is>
          <t>Science</t>
        </is>
      </c>
      <c r="C1" s="18" t="inlineStr">
        <is>
          <t>Operations</t>
        </is>
      </c>
      <c r="D1" s="18" t="inlineStr">
        <is>
          <t>ML</t>
        </is>
      </c>
      <c r="E1" s="18" t="inlineStr">
        <is>
          <t>Security</t>
        </is>
      </c>
      <c r="F1" s="18" t="inlineStr">
        <is>
          <t>Hardware</t>
        </is>
      </c>
      <c r="G1" s="18" t="inlineStr">
        <is>
          <t>Media</t>
        </is>
      </c>
      <c r="I1" s="18" t="inlineStr">
        <is>
          <t>helper: lista valida por fila de tasks (no editar)</t>
        </is>
      </c>
    </row>
    <row r="2">
      <c r="A2" s="18" t="inlineStr">
        <is>
          <t>Systems</t>
        </is>
      </c>
      <c r="B2" s="18" t="inlineStr">
        <is>
          <t>Chemistry</t>
        </is>
      </c>
      <c r="C2" s="18" t="inlineStr">
        <is>
          <t>Claims</t>
        </is>
      </c>
      <c r="D2" s="18" t="inlineStr">
        <is>
          <t>Inference</t>
        </is>
      </c>
      <c r="E2" s="18" t="inlineStr">
        <is>
          <t>Cryptography</t>
        </is>
      </c>
      <c r="F2" s="18" t="inlineStr">
        <is>
          <t>CAD</t>
        </is>
      </c>
      <c r="G2" s="18" t="inlineStr">
        <is>
          <t>Design</t>
        </is>
      </c>
      <c r="J2" s="18">
        <f>IFERROR(TRANSPOSE(INDEX($A$2:$G$8,0,MATCH('tasks_tb2.1'!F2,$A$1:$G$1,0))),"")</f>
        <v/>
      </c>
    </row>
    <row r="3">
      <c r="A3" s="18" t="inlineStr">
        <is>
          <t>Frontend</t>
        </is>
      </c>
      <c r="B3" s="18" t="inlineStr">
        <is>
          <t>Biology</t>
        </is>
      </c>
      <c r="C3" s="18" t="inlineStr">
        <is>
          <t>Logistics</t>
        </is>
      </c>
      <c r="D3" s="18" t="inlineStr">
        <is>
          <t>Evaluation</t>
        </is>
      </c>
      <c r="E3" s="18" t="inlineStr">
        <is>
          <t>Forensics</t>
        </is>
      </c>
      <c r="F3" s="18" t="inlineStr">
        <is>
          <t>RTL</t>
        </is>
      </c>
      <c r="G3" s="18" t="inlineStr">
        <is>
          <t>Music</t>
        </is>
      </c>
      <c r="J3" s="18">
        <f>IFERROR(TRANSPOSE(INDEX($A$2:$G$8,0,MATCH('tasks_tb2.1'!F3,$A$1:$G$1,0))),"")</f>
        <v/>
      </c>
    </row>
    <row r="4">
      <c r="A4" s="18" t="inlineStr">
        <is>
          <t>Algorithms</t>
        </is>
      </c>
      <c r="B4" s="18" t="inlineStr">
        <is>
          <t>Math</t>
        </is>
      </c>
      <c r="C4" s="18" t="inlineStr">
        <is>
          <t>Compliance</t>
        </is>
      </c>
      <c r="D4" s="18" t="inlineStr">
        <is>
          <t>Training</t>
        </is>
      </c>
      <c r="E4" s="18" t="inlineStr">
        <is>
          <t>AppSec</t>
        </is>
      </c>
      <c r="J4" s="18">
        <f>IFERROR(TRANSPOSE(INDEX($A$2:$G$8,0,MATCH('tasks_tb2.1'!F4,$A$1:$G$1,0))),"")</f>
        <v/>
      </c>
    </row>
    <row r="5">
      <c r="A5" s="18" t="inlineStr">
        <is>
          <t>Data engineering</t>
        </is>
      </c>
      <c r="B5" s="18" t="inlineStr">
        <is>
          <t>Physics</t>
        </is>
      </c>
      <c r="C5" s="18" t="inlineStr">
        <is>
          <t>Finance</t>
        </is>
      </c>
      <c r="D5" s="18" t="inlineStr">
        <is>
          <t>Kernels</t>
        </is>
      </c>
      <c r="J5" s="18">
        <f>IFERROR(TRANSPOSE(INDEX($A$2:$G$8,0,MATCH('tasks_tb2.1'!F5,$A$1:$G$1,0))),"")</f>
        <v/>
      </c>
    </row>
    <row r="6">
      <c r="A6" s="18" t="inlineStr">
        <is>
          <t>Databases</t>
        </is>
      </c>
      <c r="B6" s="18" t="inlineStr">
        <is>
          <t>Earth</t>
        </is>
      </c>
      <c r="C6" s="18" t="inlineStr">
        <is>
          <t>Marketing</t>
        </is>
      </c>
      <c r="J6" s="18">
        <f>IFERROR(TRANSPOSE(INDEX($A$2:$G$8,0,MATCH('tasks_tb2.1'!F6,$A$1:$G$1,0))),"")</f>
        <v/>
      </c>
    </row>
    <row r="7">
      <c r="B7" s="18" t="inlineStr">
        <is>
          <t>Linguistics</t>
        </is>
      </c>
      <c r="C7" s="18" t="inlineStr">
        <is>
          <t>Supply chain</t>
        </is>
      </c>
      <c r="J7" s="18">
        <f>IFERROR(TRANSPOSE(INDEX($A$2:$G$8,0,MATCH('tasks_tb2.1'!F8,$A$1:$G$1,0))),"")</f>
        <v/>
      </c>
    </row>
    <row r="8">
      <c r="B8" s="18" t="inlineStr">
        <is>
          <t>Robotics</t>
        </is>
      </c>
      <c r="J8" s="18">
        <f>IFERROR(TRANSPOSE(INDEX($A$2:$G$8,0,MATCH('tasks_tb2.1'!F9,$A$1:$G$1,0))),"")</f>
        <v/>
      </c>
    </row>
    <row r="9">
      <c r="J9" s="18">
        <f>IFERROR(TRANSPOSE(INDEX($A$2:$G$8,0,MATCH('tasks_tb2.1'!F10,$A$1:$G$1,0))),"")</f>
        <v/>
      </c>
    </row>
    <row r="10">
      <c r="J10" s="18">
        <f>IFERROR(TRANSPOSE(INDEX($A$2:$G$8,0,MATCH('tasks_tb2.1'!F11,$A$1:$G$1,0))),"")</f>
        <v/>
      </c>
    </row>
    <row r="11">
      <c r="J11" s="18">
        <f>IFERROR(TRANSPOSE(INDEX($A$2:$G$8,0,MATCH('tasks_tb2.1'!F12,$A$1:$G$1,0))),"")</f>
        <v/>
      </c>
    </row>
    <row r="12">
      <c r="J12" s="18">
        <f>IFERROR(TRANSPOSE(INDEX($A$2:$G$8,0,MATCH('tasks_tb2.1'!F14,$A$1:$G$1,0))),"")</f>
        <v/>
      </c>
    </row>
    <row r="13">
      <c r="J13" s="18">
        <f>IFERROR(TRANSPOSE(INDEX($A$2:$G$8,0,MATCH('tasks_tb2.1'!F15,$A$1:$G$1,0))),"")</f>
        <v/>
      </c>
    </row>
    <row r="14">
      <c r="J14" s="18">
        <f>IFERROR(TRANSPOSE(INDEX($A$2:$G$8,0,MATCH('tasks_tb2.1'!F16,$A$1:$G$1,0))),"")</f>
        <v/>
      </c>
    </row>
    <row r="15">
      <c r="J15" s="18">
        <f>IFERROR(TRANSPOSE(INDEX($A$2:$G$8,0,MATCH('tasks_tb2.1'!F17,$A$1:$G$1,0))),"")</f>
        <v/>
      </c>
    </row>
    <row r="16">
      <c r="J16" s="18">
        <f>IFERROR(TRANSPOSE(INDEX($A$2:$G$8,0,MATCH('tasks_tb2.1'!F18,$A$1:$G$1,0))),"")</f>
        <v/>
      </c>
    </row>
    <row r="17">
      <c r="J17" s="18">
        <f>IFERROR(TRANSPOSE(INDEX($A$2:$G$8,0,MATCH('tasks_tb2.1'!F19,$A$1:$G$1,0))),"")</f>
        <v/>
      </c>
    </row>
    <row r="18">
      <c r="J18" s="18">
        <f>IFERROR(TRANSPOSE(INDEX($A$2:$G$8,0,MATCH('tasks_tb2.1'!F20,$A$1:$G$1,0))),"")</f>
        <v/>
      </c>
    </row>
    <row r="19">
      <c r="J19" s="18">
        <f>IFERROR(TRANSPOSE(INDEX($A$2:$G$8,0,MATCH('tasks_tb2.1'!F21,$A$1:$G$1,0))),"")</f>
        <v/>
      </c>
    </row>
    <row r="20">
      <c r="J20" s="18">
        <f>IFERROR(TRANSPOSE(INDEX($A$2:$G$8,0,MATCH('tasks_tb2.1'!F22,$A$1:$G$1,0))),"")</f>
        <v/>
      </c>
    </row>
    <row r="21">
      <c r="J21" s="18">
        <f>IFERROR(TRANSPOSE(INDEX($A$2:$G$8,0,MATCH('tasks_tb2.1'!F23,$A$1:$G$1,0))),"")</f>
        <v/>
      </c>
    </row>
    <row r="22">
      <c r="J22" s="18">
        <f>IFERROR(TRANSPOSE(INDEX($A$2:$G$8,0,MATCH('tasks_tb2.1'!F24,$A$1:$G$1,0))),"")</f>
        <v/>
      </c>
    </row>
    <row r="23">
      <c r="J23" s="18">
        <f>IFERROR(TRANSPOSE(INDEX($A$2:$G$8,0,MATCH('tasks_tb2.1'!F25,$A$1:$G$1,0))),"")</f>
        <v/>
      </c>
    </row>
    <row r="24">
      <c r="J24" s="18">
        <f>IFERROR(TRANSPOSE(INDEX($A$2:$G$8,0,MATCH('tasks_tb2.1'!F26,$A$1:$G$1,0))),"")</f>
        <v/>
      </c>
    </row>
    <row r="25">
      <c r="J25" s="18">
        <f>IFERROR(TRANSPOSE(INDEX($A$2:$G$8,0,MATCH('tasks_tb2.1'!F27,$A$1:$G$1,0))),"")</f>
        <v/>
      </c>
    </row>
    <row r="26">
      <c r="J26" s="18">
        <f>IFERROR(TRANSPOSE(INDEX($A$2:$G$8,0,MATCH('tasks_tb2.1'!F28,$A$1:$G$1,0))),"")</f>
        <v/>
      </c>
    </row>
    <row r="27">
      <c r="J27" s="18">
        <f>IFERROR(TRANSPOSE(INDEX($A$2:$G$8,0,MATCH('tasks_tb2.1'!F29,$A$1:$G$1,0))),"")</f>
        <v/>
      </c>
    </row>
    <row r="28">
      <c r="J28" s="18">
        <f>IFERROR(TRANSPOSE(INDEX($A$2:$G$8,0,MATCH('tasks_tb2.1'!F30,$A$1:$G$1,0))),"")</f>
        <v/>
      </c>
    </row>
    <row r="29">
      <c r="J29" s="18">
        <f>IFERROR(TRANSPOSE(INDEX($A$2:$G$8,0,MATCH('tasks_tb2.1'!F31,$A$1:$G$1,0))),"")</f>
        <v/>
      </c>
    </row>
    <row r="30">
      <c r="J30" s="18">
        <f>IFERROR(TRANSPOSE(INDEX($A$2:$G$8,0,MATCH('tasks_tb2.1'!F32,$A$1:$G$1,0))),"")</f>
        <v/>
      </c>
    </row>
    <row r="31">
      <c r="J31" s="18">
        <f>IFERROR(TRANSPOSE(INDEX($A$2:$G$8,0,MATCH('tasks_tb2.1'!F33,$A$1:$G$1,0))),"")</f>
        <v/>
      </c>
    </row>
    <row r="32">
      <c r="J32" s="18">
        <f>IFERROR(TRANSPOSE(INDEX($A$2:$G$8,0,MATCH('tasks_tb2.1'!F34,$A$1:$G$1,0))),"")</f>
        <v/>
      </c>
    </row>
    <row r="33">
      <c r="J33" s="18">
        <f>IFERROR(TRANSPOSE(INDEX($A$2:$G$8,0,MATCH('tasks_tb2.1'!F35,$A$1:$G$1,0))),"")</f>
        <v/>
      </c>
    </row>
    <row r="34">
      <c r="J34" s="18">
        <f>IFERROR(TRANSPOSE(INDEX($A$2:$G$8,0,MATCH('tasks_tb2.1'!F36,$A$1:$G$1,0))),"")</f>
        <v/>
      </c>
    </row>
    <row r="35">
      <c r="J35" s="18">
        <f>IFERROR(TRANSPOSE(INDEX($A$2:$G$8,0,MATCH('tasks_tb2.1'!F37,$A$1:$G$1,0))),"")</f>
        <v/>
      </c>
    </row>
    <row r="36">
      <c r="J36" s="18">
        <f>IFERROR(TRANSPOSE(INDEX($A$2:$G$8,0,MATCH('tasks_tb2.1'!F38,$A$1:$G$1,0))),"")</f>
        <v/>
      </c>
    </row>
    <row r="37">
      <c r="J37" s="18">
        <f>IFERROR(TRANSPOSE(INDEX($A$2:$G$8,0,MATCH('tasks_tb2.1'!F39,$A$1:$G$1,0))),"")</f>
        <v/>
      </c>
    </row>
    <row r="38">
      <c r="J38" s="18">
        <f>IFERROR(TRANSPOSE(INDEX($A$2:$G$8,0,MATCH('tasks_tb2.1'!F40,$A$1:$G$1,0))),"")</f>
        <v/>
      </c>
    </row>
    <row r="39">
      <c r="J39" s="18">
        <f>IFERROR(TRANSPOSE(INDEX($A$2:$G$8,0,MATCH('tasks_tb2.1'!F41,$A$1:$G$1,0))),"")</f>
        <v/>
      </c>
    </row>
    <row r="40">
      <c r="J40" s="18">
        <f>IFERROR(TRANSPOSE(INDEX($A$2:$G$8,0,MATCH('tasks_tb2.1'!F42,$A$1:$G$1,0))),"")</f>
        <v/>
      </c>
    </row>
    <row r="41">
      <c r="J41" s="18">
        <f>IFERROR(TRANSPOSE(INDEX($A$2:$G$8,0,MATCH('tasks_tb2.1'!F46,$A$1:$G$1,0))),"")</f>
        <v/>
      </c>
    </row>
    <row r="42">
      <c r="J42" s="18">
        <f>IFERROR(TRANSPOSE(INDEX($A$2:$G$8,0,MATCH('tasks_tb2.1'!F47,$A$1:$G$1,0))),"")</f>
        <v/>
      </c>
    </row>
    <row r="43">
      <c r="J43" s="18">
        <f>IFERROR(TRANSPOSE(INDEX($A$2:$G$8,0,MATCH('tasks_tb2.1'!F48,$A$1:$G$1,0))),"")</f>
        <v/>
      </c>
    </row>
    <row r="44">
      <c r="J44" s="18">
        <f>IFERROR(TRANSPOSE(INDEX($A$2:$G$8,0,MATCH('tasks_tb2.1'!F49,$A$1:$G$1,0))),"")</f>
        <v/>
      </c>
    </row>
    <row r="45">
      <c r="J45" s="18">
        <f>IFERROR(TRANSPOSE(INDEX($A$2:$G$8,0,MATCH('tasks_tb2.1'!F50,$A$1:$G$1,0))),"")</f>
        <v/>
      </c>
    </row>
    <row r="46">
      <c r="J46" s="18">
        <f>IFERROR(TRANSPOSE(INDEX($A$2:$G$8,0,MATCH('tasks_tb2.1'!F51,$A$1:$G$1,0))),"")</f>
        <v/>
      </c>
    </row>
    <row r="47">
      <c r="J47" s="18">
        <f>IFERROR(TRANSPOSE(INDEX($A$2:$G$8,0,MATCH('tasks_tb2.1'!F52,$A$1:$G$1,0))),"")</f>
        <v/>
      </c>
    </row>
    <row r="48">
      <c r="J48" s="18">
        <f>IFERROR(TRANSPOSE(INDEX($A$2:$G$8,0,MATCH('tasks_tb2.1'!F53,$A$1:$G$1,0))),"")</f>
        <v/>
      </c>
    </row>
    <row r="49">
      <c r="J49" s="18">
        <f>IFERROR(TRANSPOSE(INDEX($A$2:$G$8,0,MATCH('tasks_tb2.1'!F54,$A$1:$G$1,0))),"")</f>
        <v/>
      </c>
    </row>
    <row r="50">
      <c r="J50" s="18">
        <f>IFERROR(TRANSPOSE(INDEX($A$2:$G$8,0,MATCH('tasks_tb2.1'!F55,$A$1:$G$1,0))),"")</f>
        <v/>
      </c>
    </row>
    <row r="51">
      <c r="J51" s="18">
        <f>IFERROR(TRANSPOSE(INDEX($A$2:$G$8,0,MATCH('tasks_tb2.1'!F56,$A$1:$G$1,0))),"")</f>
        <v/>
      </c>
    </row>
    <row r="52">
      <c r="J52" s="18">
        <f>IFERROR(TRANSPOSE(INDEX($A$2:$G$8,0,MATCH('tasks_tb2.1'!F57,$A$1:$G$1,0))),"")</f>
        <v/>
      </c>
    </row>
    <row r="53">
      <c r="J53" s="18">
        <f>IFERROR(TRANSPOSE(INDEX($A$2:$G$8,0,MATCH('tasks_tb2.1'!F58,$A$1:$G$1,0))),"")</f>
        <v/>
      </c>
    </row>
    <row r="54">
      <c r="J54" s="18">
        <f>IFERROR(TRANSPOSE(INDEX($A$2:$G$8,0,MATCH('tasks_tb2.1'!F59,$A$1:$G$1,0))),"")</f>
        <v/>
      </c>
    </row>
    <row r="55">
      <c r="J55" s="18">
        <f>IFERROR(TRANSPOSE(INDEX($A$2:$G$8,0,MATCH('tasks_tb2.1'!F60,$A$1:$G$1,0))),"")</f>
        <v/>
      </c>
    </row>
    <row r="56">
      <c r="J56" s="18">
        <f>IFERROR(TRANSPOSE(INDEX($A$2:$G$8,0,MATCH('tasks_tb2.1'!F61,$A$1:$G$1,0))),"")</f>
        <v/>
      </c>
    </row>
    <row r="57">
      <c r="J57" s="18">
        <f>IFERROR(TRANSPOSE(INDEX($A$2:$G$8,0,MATCH('tasks_tb2.1'!F62,$A$1:$G$1,0))),"")</f>
        <v/>
      </c>
    </row>
    <row r="58">
      <c r="J58" s="18">
        <f>IFERROR(TRANSPOSE(INDEX($A$2:$G$8,0,MATCH('tasks_tb2.1'!F63,$A$1:$G$1,0))),"")</f>
        <v/>
      </c>
    </row>
    <row r="59">
      <c r="J59" s="18">
        <f>IFERROR(TRANSPOSE(INDEX($A$2:$G$8,0,MATCH('tasks_tb2.1'!F64,$A$1:$G$1,0))),"")</f>
        <v/>
      </c>
    </row>
    <row r="60">
      <c r="J60" s="18">
        <f>IFERROR(TRANSPOSE(INDEX($A$2:$G$8,0,MATCH('tasks_tb2.1'!F65,$A$1:$G$1,0))),"")</f>
        <v/>
      </c>
    </row>
    <row r="61">
      <c r="J61" s="18">
        <f>IFERROR(TRANSPOSE(INDEX($A$2:$G$8,0,MATCH('tasks_tb2.1'!F66,$A$1:$G$1,0))),"")</f>
        <v/>
      </c>
    </row>
    <row r="62">
      <c r="J62" s="18">
        <f>IFERROR(TRANSPOSE(INDEX($A$2:$G$8,0,MATCH('tasks_tb2.1'!F67,$A$1:$G$1,0))),"")</f>
        <v/>
      </c>
    </row>
    <row r="63">
      <c r="J63" s="18">
        <f>IFERROR(TRANSPOSE(INDEX($A$2:$G$8,0,MATCH('tasks_tb2.1'!F68,$A$1:$G$1,0))),"")</f>
        <v/>
      </c>
    </row>
    <row r="64">
      <c r="J64" s="18">
        <f>IFERROR(TRANSPOSE(INDEX($A$2:$G$8,0,MATCH('tasks_tb2.1'!F69,$A$1:$G$1,0))),"")</f>
        <v/>
      </c>
    </row>
    <row r="65">
      <c r="J65" s="18">
        <f>IFERROR(TRANSPOSE(INDEX($A$2:$G$8,0,MATCH('tasks_tb2.1'!F70,$A$1:$G$1,0))),"")</f>
        <v/>
      </c>
    </row>
    <row r="66">
      <c r="J66" s="18">
        <f>IFERROR(TRANSPOSE(INDEX($A$2:$G$8,0,MATCH('tasks_tb2.1'!F71,$A$1:$G$1,0))),"")</f>
        <v/>
      </c>
    </row>
    <row r="67">
      <c r="J67" s="18">
        <f>IFERROR(TRANSPOSE(INDEX($A$2:$G$8,0,MATCH('tasks_tb2.1'!F72,$A$1:$G$1,0))),"")</f>
        <v/>
      </c>
    </row>
    <row r="68">
      <c r="J68" s="18">
        <f>IFERROR(TRANSPOSE(INDEX($A$2:$G$8,0,MATCH('tasks_tb2.1'!F73,$A$1:$G$1,0))),"")</f>
        <v/>
      </c>
    </row>
    <row r="69">
      <c r="J69" s="18">
        <f>IFERROR(TRANSPOSE(INDEX($A$2:$G$8,0,MATCH('tasks_tb2.1'!F74,$A$1:$G$1,0))),"")</f>
        <v/>
      </c>
    </row>
    <row r="70">
      <c r="J70" s="18">
        <f>IFERROR(TRANSPOSE(INDEX($A$2:$G$8,0,MATCH('tasks_tb2.1'!F75,$A$1:$G$1,0))),"")</f>
        <v/>
      </c>
    </row>
    <row r="71">
      <c r="J71" s="18">
        <f>IFERROR(TRANSPOSE(INDEX($A$2:$G$8,0,MATCH('tasks_tb2.1'!F76,$A$1:$G$1,0))),"")</f>
        <v/>
      </c>
    </row>
    <row r="72">
      <c r="J72" s="18">
        <f>IFERROR(TRANSPOSE(INDEX($A$2:$G$8,0,MATCH('tasks_tb2.1'!F77,$A$1:$G$1,0))),"")</f>
        <v/>
      </c>
    </row>
    <row r="73">
      <c r="J73" s="18">
        <f>IFERROR(TRANSPOSE(INDEX($A$2:$G$8,0,MATCH('tasks_tb2.1'!F78,$A$1:$G$1,0))),"")</f>
        <v/>
      </c>
    </row>
    <row r="74">
      <c r="J74" s="18">
        <f>IFERROR(TRANSPOSE(INDEX($A$2:$G$8,0,MATCH('tasks_tb2.1'!F79,$A$1:$G$1,0))),"")</f>
        <v/>
      </c>
    </row>
    <row r="75">
      <c r="J75" s="18">
        <f>IFERROR(TRANSPOSE(INDEX($A$2:$G$8,0,MATCH('tasks_tb2.1'!F80,$A$1:$G$1,0))),"")</f>
        <v/>
      </c>
    </row>
    <row r="76">
      <c r="J76" s="18">
        <f>IFERROR(TRANSPOSE(INDEX($A$2:$G$8,0,MATCH('tasks_tb2.1'!F81,$A$1:$G$1,0))),"")</f>
        <v/>
      </c>
    </row>
    <row r="77">
      <c r="J77" s="18">
        <f>IFERROR(TRANSPOSE(INDEX($A$2:$G$8,0,MATCH('tasks_tb2.1'!F82,$A$1:$G$1,0))),"")</f>
        <v/>
      </c>
    </row>
    <row r="78">
      <c r="J78" s="18">
        <f>IFERROR(TRANSPOSE(INDEX($A$2:$G$8,0,MATCH('tasks_tb2.1'!F83,$A$1:$G$1,0))),"")</f>
        <v/>
      </c>
    </row>
    <row r="79">
      <c r="J79" s="18">
        <f>IFERROR(TRANSPOSE(INDEX($A$2:$G$8,0,MATCH('tasks_tb2.1'!F84,$A$1:$G$1,0))),"")</f>
        <v/>
      </c>
    </row>
    <row r="80">
      <c r="J80" s="18">
        <f>IFERROR(TRANSPOSE(INDEX($A$2:$G$8,0,MATCH('tasks_tb2.1'!F85,$A$1:$G$1,0))),"")</f>
        <v/>
      </c>
    </row>
    <row r="81">
      <c r="J81" s="18">
        <f>IFERROR(TRANSPOSE(INDEX($A$2:$G$8,0,MATCH('tasks_tb2.1'!F86,$A$1:$G$1,0))),"")</f>
        <v/>
      </c>
    </row>
    <row r="82">
      <c r="J82" s="18">
        <f>IFERROR(TRANSPOSE(INDEX($A$2:$G$8,0,MATCH('tasks_tb2.1'!F87,$A$1:$G$1,0))),"")</f>
        <v/>
      </c>
    </row>
    <row r="83">
      <c r="J83" s="18">
        <f>IFERROR(TRANSPOSE(INDEX($A$2:$G$8,0,MATCH('tasks_tb2.1'!F88,$A$1:$G$1,0))),"")</f>
        <v/>
      </c>
    </row>
    <row r="84">
      <c r="J84" s="18">
        <f>IFERROR(TRANSPOSE(INDEX($A$2:$G$8,0,MATCH('tasks_tb2.1'!F89,$A$1:$G$1,0))),"")</f>
        <v/>
      </c>
    </row>
    <row r="85">
      <c r="J85" s="18">
        <f>IFERROR(TRANSPOSE(INDEX($A$2:$G$8,0,MATCH('tasks_tb2.1'!F90,$A$1:$G$1,0))),"")</f>
        <v/>
      </c>
    </row>
    <row r="86">
      <c r="J86" s="18">
        <f>IFERROR(TRANSPOSE(INDEX($A$2:$G$8,0,MATCH('tasks_tb2.1'!F91,$A$1:$G$1,0))),"")</f>
        <v/>
      </c>
    </row>
    <row r="87">
      <c r="J87" s="18">
        <f>IFERROR(TRANSPOSE(INDEX($A$2:$G$8,0,MATCH('tasks_tb2.1'!F92,$A$1:$G$1,0))),"")</f>
        <v/>
      </c>
    </row>
    <row r="88">
      <c r="J88" s="18">
        <f>IFERROR(TRANSPOSE(INDEX($A$2:$G$8,0,MATCH('tasks_tb2.1'!F93,$A$1:$G$1,0))),"")</f>
        <v/>
      </c>
    </row>
    <row r="89">
      <c r="J89" s="18">
        <f>IFERROR(TRANSPOSE(INDEX($A$2:$G$8,0,MATCH('tasks_tb2.1'!F94,$A$1:$G$1,0))),"")</f>
        <v/>
      </c>
    </row>
    <row r="90">
      <c r="J90" s="18">
        <f>IFERROR(TRANSPOSE(INDEX($A$2:$G$8,0,MATCH('tasks_tb2.1'!F95,$A$1:$G$1,0))),"")</f>
        <v/>
      </c>
    </row>
    <row r="91">
      <c r="J91" s="18">
        <f>IFERROR(TRANSPOSE(INDEX($A$2:$G$8,0,MATCH('tasks_tb2.1'!F96,$A$1:$G$1,0))),"")</f>
        <v/>
      </c>
    </row>
    <row r="92">
      <c r="J92" s="18">
        <f>IFERROR(TRANSPOSE(INDEX($A$2:$G$8,0,MATCH('tasks_tb2.1'!F97,$A$1:$G$1,0))),"")</f>
        <v/>
      </c>
    </row>
    <row r="93">
      <c r="J93" s="18">
        <f>IFERROR(TRANSPOSE(INDEX($A$2:$G$8,0,MATCH('tasks_tb2.1'!F98,$A$1:$G$1,0))),"")</f>
        <v/>
      </c>
    </row>
    <row r="94">
      <c r="J94" s="18">
        <f>IFERROR(TRANSPOSE(INDEX($A$2:$G$8,0,MATCH('tasks_tb2.1'!F99,$A$1:$G$1,0))),"")</f>
        <v/>
      </c>
    </row>
    <row r="95">
      <c r="J95" s="18">
        <f>IFERROR(TRANSPOSE(INDEX($A$2:$G$8,0,MATCH('tasks_tb2.1'!F100,$A$1:$G$1,0))),"")</f>
        <v/>
      </c>
    </row>
    <row r="96">
      <c r="J96" s="18">
        <f>IFERROR(TRANSPOSE(INDEX($A$2:$G$8,0,MATCH('tasks_tb2.1'!F101,$A$1:$G$1,0))),"")</f>
        <v/>
      </c>
    </row>
    <row r="97">
      <c r="J97" s="18">
        <f>IFERROR(TRANSPOSE(INDEX($A$2:$G$8,0,MATCH('tasks_tb2.1'!F102,$A$1:$G$1,0))),"")</f>
        <v/>
      </c>
    </row>
    <row r="98">
      <c r="J98" s="18">
        <f>IFERROR(TRANSPOSE(INDEX($A$2:$G$8,0,MATCH('tasks_tb2.1'!F103,$A$1:$G$1,0))),"")</f>
        <v/>
      </c>
    </row>
    <row r="99">
      <c r="J99" s="18">
        <f>IFERROR(TRANSPOSE(INDEX($A$2:$G$8,0,MATCH('tasks_tb2.1'!F104,$A$1:$G$1,0))),"")</f>
        <v/>
      </c>
    </row>
    <row r="100">
      <c r="J100" s="18">
        <f>IFERROR(TRANSPOSE(INDEX($A$2:$G$8,0,MATCH('tasks_tb2.1'!F105,$A$1:$G$1,0))),"")</f>
        <v/>
      </c>
    </row>
    <row r="101">
      <c r="J101" s="18">
        <f>IFERROR(TRANSPOSE(INDEX($A$2:$G$8,0,MATCH('tasks_tb2.1'!F106,$A$1:$G$1,0))),"")</f>
        <v/>
      </c>
    </row>
    <row r="102">
      <c r="J102" s="18">
        <f>IFERROR(TRANSPOSE(INDEX($A$2:$G$8,0,MATCH('tasks_tb2.1'!F107,$A$1:$G$1,0))),"")</f>
        <v/>
      </c>
    </row>
    <row r="103">
      <c r="J103" s="18">
        <f>IFERROR(TRANSPOSE(INDEX($A$2:$G$8,0,MATCH('tasks_tb2.1'!F108,$A$1:$G$1,0))),"")</f>
        <v/>
      </c>
    </row>
    <row r="104">
      <c r="J104" s="18">
        <f>IFERROR(TRANSPOSE(INDEX($A$2:$G$8,0,MATCH('tasks_tb2.1'!F109,$A$1:$G$1,0))),"")</f>
        <v/>
      </c>
    </row>
    <row r="105">
      <c r="J105" s="18">
        <f>IFERROR(TRANSPOSE(INDEX($A$2:$G$8,0,MATCH('tasks_tb2.1'!F110,$A$1:$G$1,0))),"")</f>
        <v/>
      </c>
    </row>
    <row r="106">
      <c r="J106" s="18">
        <f>IFERROR(TRANSPOSE(INDEX($A$2:$G$8,0,MATCH('tasks_tb2.1'!F111,$A$1:$G$1,0))),"")</f>
        <v/>
      </c>
    </row>
    <row r="107">
      <c r="J107" s="18">
        <f>IFERROR(TRANSPOSE(INDEX($A$2:$G$8,0,MATCH('tasks_tb2.1'!F112,$A$1:$G$1,0))),"")</f>
        <v/>
      </c>
    </row>
    <row r="108">
      <c r="J108" s="18">
        <f>IFERROR(TRANSPOSE(INDEX($A$2:$G$8,0,MATCH('tasks_tb2.1'!F113,$A$1:$G$1,0))),"")</f>
        <v/>
      </c>
    </row>
    <row r="109">
      <c r="J109" s="18">
        <f>IFERROR(TRANSPOSE(INDEX($A$2:$G$8,0,MATCH('tasks_tb2.1'!F114,$A$1:$G$1,0))),"")</f>
        <v/>
      </c>
    </row>
    <row r="110">
      <c r="J110" s="18">
        <f>IFERROR(TRANSPOSE(INDEX($A$2:$G$8,0,MATCH('tasks_tb2.1'!F115,$A$1:$G$1,0))),"")</f>
        <v/>
      </c>
    </row>
    <row r="111">
      <c r="J111" s="18">
        <f>IFERROR(TRANSPOSE(INDEX($A$2:$G$8,0,MATCH('tasks_tb2.1'!F116,$A$1:$G$1,0))),"")</f>
        <v/>
      </c>
    </row>
    <row r="112">
      <c r="J112" s="18">
        <f>IFERROR(TRANSPOSE(INDEX($A$2:$G$8,0,MATCH('tasks_tb2.1'!F117,$A$1:$G$1,0))),"")</f>
        <v/>
      </c>
    </row>
    <row r="113">
      <c r="J113" s="18">
        <f>IFERROR(TRANSPOSE(INDEX($A$2:$G$8,0,MATCH('tasks_tb2.1'!F118,$A$1:$G$1,0))),"")</f>
        <v/>
      </c>
    </row>
    <row r="114">
      <c r="J114" s="18">
        <f>IFERROR(TRANSPOSE(INDEX($A$2:$G$8,0,MATCH('tasks_tb2.1'!F119,$A$1:$G$1,0))),"")</f>
        <v/>
      </c>
    </row>
    <row r="115">
      <c r="J115" s="18">
        <f>IFERROR(TRANSPOSE(INDEX($A$2:$G$8,0,MATCH('tasks_tb2.1'!F120,$A$1:$G$1,0))),"")</f>
        <v/>
      </c>
    </row>
    <row r="116">
      <c r="J116" s="18">
        <f>IFERROR(TRANSPOSE(INDEX($A$2:$G$8,0,MATCH('tasks_tb2.1'!F121,$A$1:$G$1,0))),"")</f>
        <v/>
      </c>
    </row>
    <row r="117">
      <c r="J117" s="18">
        <f>IFERROR(TRANSPOSE(INDEX($A$2:$G$8,0,MATCH('tasks_tb2.1'!F122,$A$1:$G$1,0))),"")</f>
        <v/>
      </c>
    </row>
    <row r="118">
      <c r="J118" s="18">
        <f>IFERROR(TRANSPOSE(INDEX($A$2:$G$8,0,MATCH('tasks_tb2.1'!F123,$A$1:$G$1,0))),"")</f>
        <v/>
      </c>
    </row>
    <row r="119">
      <c r="J119" s="18">
        <f>IFERROR(TRANSPOSE(INDEX($A$2:$G$8,0,MATCH('tasks_tb2.1'!F124,$A$1:$G$1,0))),"")</f>
        <v/>
      </c>
    </row>
    <row r="120">
      <c r="J120" s="18">
        <f>IFERROR(TRANSPOSE(INDEX($A$2:$G$8,0,MATCH('tasks_tb2.1'!F125,$A$1:$G$1,0))),"")</f>
        <v/>
      </c>
    </row>
    <row r="121">
      <c r="J121" s="18">
        <f>IFERROR(TRANSPOSE(INDEX($A$2:$G$8,0,MATCH('tasks_tb2.1'!F126,$A$1:$G$1,0))),"")</f>
        <v/>
      </c>
    </row>
    <row r="122">
      <c r="J122" s="18">
        <f>IFERROR(TRANSPOSE(INDEX($A$2:$G$8,0,MATCH('tasks_tb2.1'!F127,$A$1:$G$1,0))),"")</f>
        <v/>
      </c>
    </row>
    <row r="123">
      <c r="J123" s="18">
        <f>IFERROR(TRANSPOSE(INDEX($A$2:$G$8,0,MATCH('tasks_tb2.1'!F128,$A$1:$G$1,0))),"")</f>
        <v/>
      </c>
    </row>
    <row r="124">
      <c r="J124" s="18">
        <f>IFERROR(TRANSPOSE(INDEX($A$2:$G$8,0,MATCH('tasks_tb2.1'!F129,$A$1:$G$1,0))),"")</f>
        <v/>
      </c>
    </row>
    <row r="125">
      <c r="J125" s="18">
        <f>IFERROR(TRANSPOSE(INDEX($A$2:$G$8,0,MATCH('tasks_tb2.1'!F130,$A$1:$G$1,0))),"")</f>
        <v/>
      </c>
    </row>
    <row r="126">
      <c r="J126" s="18">
        <f>IFERROR(TRANSPOSE(INDEX($A$2:$G$8,0,MATCH('tasks_tb2.1'!F131,$A$1:$G$1,0))),"")</f>
        <v/>
      </c>
    </row>
    <row r="127">
      <c r="J127" s="18">
        <f>IFERROR(TRANSPOSE(INDEX($A$2:$G$8,0,MATCH('tasks_tb2.1'!F132,$A$1:$G$1,0))),"")</f>
        <v/>
      </c>
    </row>
    <row r="128">
      <c r="J128" s="18">
        <f>IFERROR(TRANSPOSE(INDEX($A$2:$G$8,0,MATCH('tasks_tb2.1'!F133,$A$1:$G$1,0))),"")</f>
        <v/>
      </c>
    </row>
    <row r="129">
      <c r="J129" s="18">
        <f>IFERROR(TRANSPOSE(INDEX($A$2:$G$8,0,MATCH('tasks_tb2.1'!F134,$A$1:$G$1,0))),"")</f>
        <v/>
      </c>
    </row>
    <row r="130">
      <c r="J130" s="18">
        <f>IFERROR(TRANSPOSE(INDEX($A$2:$G$8,0,MATCH('tasks_tb2.1'!F135,$A$1:$G$1,0))),"")</f>
        <v/>
      </c>
    </row>
    <row r="131">
      <c r="J131" s="18">
        <f>IFERROR(TRANSPOSE(INDEX($A$2:$G$8,0,MATCH('tasks_tb2.1'!F136,$A$1:$G$1,0))),"")</f>
        <v/>
      </c>
    </row>
    <row r="132">
      <c r="J132" s="18">
        <f>IFERROR(TRANSPOSE(INDEX($A$2:$G$8,0,MATCH('tasks_tb2.1'!F137,$A$1:$G$1,0))),"")</f>
        <v/>
      </c>
    </row>
    <row r="133">
      <c r="J133" s="18">
        <f>IFERROR(TRANSPOSE(INDEX($A$2:$G$8,0,MATCH('tasks_tb2.1'!F138,$A$1:$G$1,0))),"")</f>
        <v/>
      </c>
    </row>
    <row r="134">
      <c r="J134" s="18">
        <f>IFERROR(TRANSPOSE(INDEX($A$2:$G$8,0,MATCH('tasks_tb2.1'!F139,$A$1:$G$1,0))),"")</f>
        <v/>
      </c>
    </row>
    <row r="135">
      <c r="J135" s="18">
        <f>IFERROR(TRANSPOSE(INDEX($A$2:$G$8,0,MATCH('tasks_tb2.1'!F140,$A$1:$G$1,0))),"")</f>
        <v/>
      </c>
    </row>
    <row r="136">
      <c r="J136" s="18">
        <f>IFERROR(TRANSPOSE(INDEX($A$2:$G$8,0,MATCH('tasks_tb2.1'!F141,$A$1:$G$1,0))),"")</f>
        <v/>
      </c>
    </row>
    <row r="137">
      <c r="J137" s="18">
        <f>IFERROR(TRANSPOSE(INDEX($A$2:$G$8,0,MATCH('tasks_tb2.1'!F142,$A$1:$G$1,0))),"")</f>
        <v/>
      </c>
    </row>
    <row r="138">
      <c r="J138" s="18">
        <f>IFERROR(TRANSPOSE(INDEX($A$2:$G$8,0,MATCH('tasks_tb2.1'!F143,$A$1:$G$1,0))),"")</f>
        <v/>
      </c>
    </row>
    <row r="139">
      <c r="J139" s="18">
        <f>IFERROR(TRANSPOSE(INDEX($A$2:$G$8,0,MATCH('tasks_tb2.1'!F144,$A$1:$G$1,0))),"")</f>
        <v/>
      </c>
    </row>
    <row r="140">
      <c r="J140" s="18">
        <f>IFERROR(TRANSPOSE(INDEX($A$2:$G$8,0,MATCH('tasks_tb2.1'!F145,$A$1:$G$1,0))),"")</f>
        <v/>
      </c>
    </row>
    <row r="141">
      <c r="J141" s="18">
        <f>IFERROR(TRANSPOSE(INDEX($A$2:$G$8,0,MATCH('tasks_tb2.1'!F146,$A$1:$G$1,0))),"")</f>
        <v/>
      </c>
    </row>
    <row r="142">
      <c r="J142" s="18">
        <f>IFERROR(TRANSPOSE(INDEX($A$2:$G$8,0,MATCH('tasks_tb2.1'!F147,$A$1:$G$1,0))),"")</f>
        <v/>
      </c>
    </row>
    <row r="143">
      <c r="J143" s="18">
        <f>IFERROR(TRANSPOSE(INDEX($A$2:$G$8,0,MATCH('tasks_tb2.1'!F148,$A$1:$G$1,0))),"")</f>
        <v/>
      </c>
    </row>
    <row r="144">
      <c r="J144" s="18">
        <f>IFERROR(TRANSPOSE(INDEX($A$2:$G$8,0,MATCH('tasks_tb2.1'!F149,$A$1:$G$1,0))),"")</f>
        <v/>
      </c>
    </row>
    <row r="145">
      <c r="J145" s="18">
        <f>IFERROR(TRANSPOSE(INDEX($A$2:$G$8,0,MATCH('tasks_tb2.1'!F150,$A$1:$G$1,0))),"")</f>
        <v/>
      </c>
    </row>
    <row r="146">
      <c r="J146" s="18">
        <f>IFERROR(TRANSPOSE(INDEX($A$2:$G$8,0,MATCH('tasks_tb2.1'!F151,$A$1:$G$1,0))),"")</f>
        <v/>
      </c>
    </row>
    <row r="147">
      <c r="J147" s="18">
        <f>IFERROR(TRANSPOSE(INDEX($A$2:$G$8,0,MATCH('tasks_tb2.1'!F152,$A$1:$G$1,0))),"")</f>
        <v/>
      </c>
    </row>
    <row r="148">
      <c r="J148" s="18">
        <f>IFERROR(TRANSPOSE(INDEX($A$2:$G$8,0,MATCH('tasks_tb2.1'!F153,$A$1:$G$1,0))),"")</f>
        <v/>
      </c>
    </row>
    <row r="149">
      <c r="J149" s="18">
        <f>IFERROR(TRANSPOSE(INDEX($A$2:$G$8,0,MATCH('tasks_tb2.1'!F154,$A$1:$G$1,0))),"")</f>
        <v/>
      </c>
    </row>
    <row r="150">
      <c r="J150" s="18">
        <f>IFERROR(TRANSPOSE(INDEX($A$2:$G$8,0,MATCH('tasks_tb2.1'!F155,$A$1:$G$1,0))),"")</f>
        <v/>
      </c>
    </row>
    <row r="151">
      <c r="J151" s="18">
        <f>IFERROR(TRANSPOSE(INDEX($A$2:$G$8,0,MATCH('tasks_tb2.1'!F156,$A$1:$G$1,0))),"")</f>
        <v/>
      </c>
    </row>
    <row r="152">
      <c r="J152" s="18">
        <f>IFERROR(TRANSPOSE(INDEX($A$2:$G$8,0,MATCH('tasks_tb2.1'!F157,$A$1:$G$1,0))),"")</f>
        <v/>
      </c>
    </row>
    <row r="153">
      <c r="J153" s="18">
        <f>IFERROR(TRANSPOSE(INDEX($A$2:$G$8,0,MATCH('tasks_tb2.1'!F158,$A$1:$G$1,0))),"")</f>
        <v/>
      </c>
    </row>
    <row r="154">
      <c r="J154" s="18">
        <f>IFERROR(TRANSPOSE(INDEX($A$2:$G$8,0,MATCH('tasks_tb2.1'!F159,$A$1:$G$1,0))),"")</f>
        <v/>
      </c>
    </row>
    <row r="155">
      <c r="J155" s="18">
        <f>IFERROR(TRANSPOSE(INDEX($A$2:$G$8,0,MATCH('tasks_tb2.1'!F160,$A$1:$G$1,0))),"")</f>
        <v/>
      </c>
    </row>
    <row r="156">
      <c r="J156" s="18">
        <f>IFERROR(TRANSPOSE(INDEX($A$2:$G$8,0,MATCH('tasks_tb2.1'!F161,$A$1:$G$1,0))),"")</f>
        <v/>
      </c>
    </row>
    <row r="157">
      <c r="J157" s="18">
        <f>IFERROR(TRANSPOSE(INDEX($A$2:$G$8,0,MATCH('tasks_tb2.1'!F162,$A$1:$G$1,0))),"")</f>
        <v/>
      </c>
    </row>
    <row r="158">
      <c r="J158" s="18">
        <f>IFERROR(TRANSPOSE(INDEX($A$2:$G$8,0,MATCH('tasks_tb2.1'!F163,$A$1:$G$1,0))),"")</f>
        <v/>
      </c>
    </row>
    <row r="159">
      <c r="J159" s="18">
        <f>IFERROR(TRANSPOSE(INDEX($A$2:$G$8,0,MATCH('tasks_tb2.1'!F164,$A$1:$G$1,0))),"")</f>
        <v/>
      </c>
    </row>
    <row r="160">
      <c r="J160" s="18">
        <f>IFERROR(TRANSPOSE(INDEX($A$2:$G$8,0,MATCH('tasks_tb2.1'!F165,$A$1:$G$1,0))),"")</f>
        <v/>
      </c>
    </row>
    <row r="161">
      <c r="J161" s="18">
        <f>IFERROR(TRANSPOSE(INDEX($A$2:$G$8,0,MATCH('tasks_tb2.1'!F166,$A$1:$G$1,0))),"")</f>
        <v/>
      </c>
    </row>
    <row r="162">
      <c r="J162" s="18">
        <f>IFERROR(TRANSPOSE(INDEX($A$2:$G$8,0,MATCH('tasks_tb2.1'!F167,$A$1:$G$1,0))),"")</f>
        <v/>
      </c>
    </row>
    <row r="163">
      <c r="J163" s="18">
        <f>IFERROR(TRANSPOSE(INDEX($A$2:$G$8,0,MATCH('tasks_tb2.1'!F168,$A$1:$G$1,0))),"")</f>
        <v/>
      </c>
    </row>
    <row r="164">
      <c r="J164" s="18">
        <f>IFERROR(TRANSPOSE(INDEX($A$2:$G$8,0,MATCH('tasks_tb2.1'!F169,$A$1:$G$1,0))),"")</f>
        <v/>
      </c>
    </row>
    <row r="165">
      <c r="J165" s="18">
        <f>IFERROR(TRANSPOSE(INDEX($A$2:$G$8,0,MATCH('tasks_tb2.1'!F170,$A$1:$G$1,0))),"")</f>
        <v/>
      </c>
    </row>
    <row r="166">
      <c r="J166" s="18">
        <f>IFERROR(TRANSPOSE(INDEX($A$2:$G$8,0,MATCH('tasks_tb2.1'!F171,$A$1:$G$1,0))),"")</f>
        <v/>
      </c>
    </row>
    <row r="167">
      <c r="J167" s="18">
        <f>IFERROR(TRANSPOSE(INDEX($A$2:$G$8,0,MATCH('tasks_tb2.1'!F172,$A$1:$G$1,0))),"")</f>
        <v/>
      </c>
    </row>
    <row r="168">
      <c r="J168" s="18">
        <f>IFERROR(TRANSPOSE(INDEX($A$2:$G$8,0,MATCH('tasks_tb2.1'!F173,$A$1:$G$1,0))),"")</f>
        <v/>
      </c>
    </row>
    <row r="169">
      <c r="J169" s="18">
        <f>IFERROR(TRANSPOSE(INDEX($A$2:$G$8,0,MATCH('tasks_tb2.1'!F174,$A$1:$G$1,0))),"")</f>
        <v/>
      </c>
    </row>
    <row r="170">
      <c r="J170" s="18">
        <f>IFERROR(TRANSPOSE(INDEX($A$2:$G$8,0,MATCH('tasks_tb2.1'!F175,$A$1:$G$1,0))),"")</f>
        <v/>
      </c>
    </row>
    <row r="171">
      <c r="J171" s="18">
        <f>IFERROR(TRANSPOSE(INDEX($A$2:$G$8,0,MATCH('tasks_tb2.1'!F176,$A$1:$G$1,0))),"")</f>
        <v/>
      </c>
    </row>
    <row r="172">
      <c r="J172" s="18">
        <f>IFERROR(TRANSPOSE(INDEX($A$2:$G$8,0,MATCH('tasks_tb2.1'!F177,$A$1:$G$1,0))),"")</f>
        <v/>
      </c>
    </row>
    <row r="173">
      <c r="J173" s="18">
        <f>IFERROR(TRANSPOSE(INDEX($A$2:$G$8,0,MATCH('tasks_tb2.1'!F178,$A$1:$G$1,0))),"")</f>
        <v/>
      </c>
    </row>
    <row r="174">
      <c r="J174" s="18">
        <f>IFERROR(TRANSPOSE(INDEX($A$2:$G$8,0,MATCH('tasks_tb2.1'!F179,$A$1:$G$1,0))),"")</f>
        <v/>
      </c>
    </row>
    <row r="175">
      <c r="J175" s="18">
        <f>IFERROR(TRANSPOSE(INDEX($A$2:$G$8,0,MATCH('tasks_tb2.1'!F180,$A$1:$G$1,0))),"")</f>
        <v/>
      </c>
    </row>
    <row r="176">
      <c r="J176" s="18">
        <f>IFERROR(TRANSPOSE(INDEX($A$2:$G$8,0,MATCH('tasks_tb2.1'!F181,$A$1:$G$1,0))),"")</f>
        <v/>
      </c>
    </row>
    <row r="177">
      <c r="J177" s="18">
        <f>IFERROR(TRANSPOSE(INDEX($A$2:$G$8,0,MATCH('tasks_tb2.1'!F182,$A$1:$G$1,0))),"")</f>
        <v/>
      </c>
    </row>
    <row r="178">
      <c r="J178" s="18">
        <f>IFERROR(TRANSPOSE(INDEX($A$2:$G$8,0,MATCH('tasks_tb2.1'!F183,$A$1:$G$1,0))),"")</f>
        <v/>
      </c>
    </row>
    <row r="179">
      <c r="J179" s="18">
        <f>IFERROR(TRANSPOSE(INDEX($A$2:$G$8,0,MATCH('tasks_tb2.1'!F184,$A$1:$G$1,0))),"")</f>
        <v/>
      </c>
    </row>
    <row r="180">
      <c r="J180" s="18">
        <f>IFERROR(TRANSPOSE(INDEX($A$2:$G$8,0,MATCH('tasks_tb2.1'!F185,$A$1:$G$1,0))),"")</f>
        <v/>
      </c>
    </row>
    <row r="181">
      <c r="J181" s="18">
        <f>IFERROR(TRANSPOSE(INDEX($A$2:$G$8,0,MATCH('tasks_tb2.1'!F186,$A$1:$G$1,0))),"")</f>
        <v/>
      </c>
    </row>
    <row r="182">
      <c r="J182" s="18">
        <f>IFERROR(TRANSPOSE(INDEX($A$2:$G$8,0,MATCH('tasks_tb2.1'!F187,$A$1:$G$1,0))),"")</f>
        <v/>
      </c>
    </row>
    <row r="183">
      <c r="J183" s="18">
        <f>IFERROR(TRANSPOSE(INDEX($A$2:$G$8,0,MATCH('tasks_tb2.1'!F188,$A$1:$G$1,0))),"")</f>
        <v/>
      </c>
    </row>
    <row r="184">
      <c r="J184" s="18">
        <f>IFERROR(TRANSPOSE(INDEX($A$2:$G$8,0,MATCH('tasks_tb2.1'!F189,$A$1:$G$1,0))),"")</f>
        <v/>
      </c>
    </row>
    <row r="185">
      <c r="J185" s="18">
        <f>IFERROR(TRANSPOSE(INDEX($A$2:$G$8,0,MATCH('tasks_tb2.1'!F190,$A$1:$G$1,0))),"")</f>
        <v/>
      </c>
    </row>
    <row r="186">
      <c r="J186" s="18">
        <f>IFERROR(TRANSPOSE(INDEX($A$2:$G$8,0,MATCH('tasks_tb2.1'!F191,$A$1:$G$1,0))),"")</f>
        <v/>
      </c>
    </row>
    <row r="187">
      <c r="J187" s="18">
        <f>IFERROR(TRANSPOSE(INDEX($A$2:$G$8,0,MATCH('tasks_tb2.1'!F192,$A$1:$G$1,0))),"")</f>
        <v/>
      </c>
    </row>
    <row r="188">
      <c r="J188" s="18">
        <f>IFERROR(TRANSPOSE(INDEX($A$2:$G$8,0,MATCH('tasks_tb2.1'!F193,$A$1:$G$1,0))),"")</f>
        <v/>
      </c>
    </row>
    <row r="189">
      <c r="J189" s="18">
        <f>IFERROR(TRANSPOSE(INDEX($A$2:$G$8,0,MATCH('tasks_tb2.1'!F194,$A$1:$G$1,0))),"")</f>
        <v/>
      </c>
    </row>
    <row r="190">
      <c r="J190" s="18">
        <f>IFERROR(TRANSPOSE(INDEX($A$2:$G$8,0,MATCH('tasks_tb2.1'!F195,$A$1:$G$1,0))),"")</f>
        <v/>
      </c>
    </row>
    <row r="191">
      <c r="J191" s="18">
        <f>IFERROR(TRANSPOSE(INDEX($A$2:$G$8,0,MATCH('tasks_tb2.1'!F196,$A$1:$G$1,0))),"")</f>
        <v/>
      </c>
    </row>
    <row r="192">
      <c r="J192" s="18">
        <f>IFERROR(TRANSPOSE(INDEX($A$2:$G$8,0,MATCH('tasks_tb2.1'!F197,$A$1:$G$1,0))),"")</f>
        <v/>
      </c>
    </row>
    <row r="193">
      <c r="J193" s="18">
        <f>IFERROR(TRANSPOSE(INDEX($A$2:$G$8,0,MATCH('tasks_tb2.1'!F198,$A$1:$G$1,0))),"")</f>
        <v/>
      </c>
    </row>
    <row r="194">
      <c r="J194" s="18">
        <f>IFERROR(TRANSPOSE(INDEX($A$2:$G$8,0,MATCH('tasks_tb2.1'!F199,$A$1:$G$1,0))),"")</f>
        <v/>
      </c>
    </row>
    <row r="195">
      <c r="J195" s="18">
        <f>IFERROR(TRANSPOSE(INDEX($A$2:$G$8,0,MATCH('tasks_tb2.1'!F200,$A$1:$G$1,0))),"")</f>
        <v/>
      </c>
    </row>
    <row r="196">
      <c r="J196" s="18">
        <f>IFERROR(TRANSPOSE(INDEX($A$2:$G$8,0,MATCH('tasks_tb2.1'!F201,$A$1:$G$1,0))),"")</f>
        <v/>
      </c>
    </row>
    <row r="197">
      <c r="J197" s="18">
        <f>IFERROR(TRANSPOSE(INDEX($A$2:$G$8,0,MATCH('tasks_tb2.1'!F202,$A$1:$G$1,0))),"")</f>
        <v/>
      </c>
    </row>
    <row r="198">
      <c r="J198" s="18">
        <f>IFERROR(TRANSPOSE(INDEX($A$2:$G$8,0,MATCH('tasks_tb2.1'!F203,$A$1:$G$1,0))),"")</f>
        <v/>
      </c>
    </row>
    <row r="199">
      <c r="J199" s="18">
        <f>IFERROR(TRANSPOSE(INDEX($A$2:$G$8,0,MATCH('tasks_tb2.1'!F204,$A$1:$G$1,0))),"")</f>
        <v/>
      </c>
    </row>
    <row r="200">
      <c r="J200" s="18">
        <f>IFERROR(TRANSPOSE(INDEX($A$2:$G$8,0,MATCH('tasks_tb2.1'!F205,$A$1:$G$1,0))),"")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2026-09-09T20:31:45Z</dcterms:created>
  <dcterms:modified xmlns:dcterms="http://purl.org/dc/terms/" xmlns:xsi="http://www.w3.org/2001/XMLSchema-instance" xsi:type="dcterms:W3CDTF">2026-09-09T20:31:45Z</dcterms:modified>
</cp:coreProperties>
</file>